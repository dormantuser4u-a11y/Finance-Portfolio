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rchu\Downloads\"/>
    </mc:Choice>
  </mc:AlternateContent>
  <xr:revisionPtr revIDLastSave="0" documentId="13_ncr:1_{EDADB06B-C718-4697-8F04-6FCF597BC3CD}" xr6:coauthVersionLast="47" xr6:coauthVersionMax="47" xr10:uidLastSave="{00000000-0000-0000-0000-000000000000}"/>
  <bookViews>
    <workbookView xWindow="-108" yWindow="-108" windowWidth="23256" windowHeight="12456" xr2:uid="{00000000-000D-0000-FFFF-FFFF00000000}"/>
  </bookViews>
  <sheets>
    <sheet name="Sheet" sheetId="1" r:id="rId1"/>
    <sheet name="Dashboard" sheetId="2" r:id="rId2"/>
  </sheets>
  <definedNames>
    <definedName name="Slicer_Category">#N/A</definedName>
    <definedName name="Slicer_Payment_Method">#N/A</definedName>
    <definedName name="Slicer_Salesperson">#N/A</definedName>
    <definedName name="Slicer_Stor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0" i="1" l="1"/>
  <c r="B61" i="1"/>
  <c r="B58" i="1"/>
</calcChain>
</file>

<file path=xl/sharedStrings.xml><?xml version="1.0" encoding="utf-8"?>
<sst xmlns="http://schemas.openxmlformats.org/spreadsheetml/2006/main" count="382" uniqueCount="104">
  <si>
    <t>Date</t>
  </si>
  <si>
    <t>Invoice ID</t>
  </si>
  <si>
    <t>Product</t>
  </si>
  <si>
    <t>Category</t>
  </si>
  <si>
    <t>Quantity</t>
  </si>
  <si>
    <t>Unit Price</t>
  </si>
  <si>
    <t>Discount %</t>
  </si>
  <si>
    <t>GST %</t>
  </si>
  <si>
    <t>Total Sales</t>
  </si>
  <si>
    <t>Cost</t>
  </si>
  <si>
    <t>Profit</t>
  </si>
  <si>
    <t>Payment Method</t>
  </si>
  <si>
    <t>Store</t>
  </si>
  <si>
    <t>Salesperson</t>
  </si>
  <si>
    <t>INV1002</t>
  </si>
  <si>
    <t>Mocha</t>
  </si>
  <si>
    <t>Coffee</t>
  </si>
  <si>
    <t>UPI</t>
  </si>
  <si>
    <t>Downtown</t>
  </si>
  <si>
    <t>Rahul</t>
  </si>
  <si>
    <t>INV1003</t>
  </si>
  <si>
    <t>Brownie</t>
  </si>
  <si>
    <t>Bakery</t>
  </si>
  <si>
    <t>Card</t>
  </si>
  <si>
    <t>Tech Park</t>
  </si>
  <si>
    <t>Priya</t>
  </si>
  <si>
    <t>INV1004</t>
  </si>
  <si>
    <t>Sandwich</t>
  </si>
  <si>
    <t>Food</t>
  </si>
  <si>
    <t>Asha</t>
  </si>
  <si>
    <t>INV1005</t>
  </si>
  <si>
    <t>INV1006</t>
  </si>
  <si>
    <t>Latte</t>
  </si>
  <si>
    <t>INV1007</t>
  </si>
  <si>
    <t>Tea</t>
  </si>
  <si>
    <t>Mall</t>
  </si>
  <si>
    <t>INV1008</t>
  </si>
  <si>
    <t>INV1009</t>
  </si>
  <si>
    <t>INV1010</t>
  </si>
  <si>
    <t>INV1011</t>
  </si>
  <si>
    <t>Cash</t>
  </si>
  <si>
    <t>INV1012</t>
  </si>
  <si>
    <t>Cappuccino</t>
  </si>
  <si>
    <t>INV1013</t>
  </si>
  <si>
    <t>INV1014</t>
  </si>
  <si>
    <t>INV1015</t>
  </si>
  <si>
    <t>INV1016</t>
  </si>
  <si>
    <t>Espresso</t>
  </si>
  <si>
    <t>INV1017</t>
  </si>
  <si>
    <t>INV1018</t>
  </si>
  <si>
    <t>INV1019</t>
  </si>
  <si>
    <t>INV1020</t>
  </si>
  <si>
    <t>INV1021</t>
  </si>
  <si>
    <t>INV1022</t>
  </si>
  <si>
    <t>INV1023</t>
  </si>
  <si>
    <t>INV1024</t>
  </si>
  <si>
    <t>INV1025</t>
  </si>
  <si>
    <t>INV1026</t>
  </si>
  <si>
    <t>INV1027</t>
  </si>
  <si>
    <t>INV1028</t>
  </si>
  <si>
    <t>INV1029</t>
  </si>
  <si>
    <t>INV1030</t>
  </si>
  <si>
    <t>INV1031</t>
  </si>
  <si>
    <t>INV1032</t>
  </si>
  <si>
    <t>INV1033</t>
  </si>
  <si>
    <t>INV1034</t>
  </si>
  <si>
    <t>INV1035</t>
  </si>
  <si>
    <t>INV1036</t>
  </si>
  <si>
    <t>INV1037</t>
  </si>
  <si>
    <t>INV1038</t>
  </si>
  <si>
    <t>INV1039</t>
  </si>
  <si>
    <t>INV1040</t>
  </si>
  <si>
    <t>INV1041</t>
  </si>
  <si>
    <t>INV1042</t>
  </si>
  <si>
    <t>INV1043</t>
  </si>
  <si>
    <t>INV1044</t>
  </si>
  <si>
    <t>INV1045</t>
  </si>
  <si>
    <t>INV1046</t>
  </si>
  <si>
    <t>INV1047</t>
  </si>
  <si>
    <t>INV1048</t>
  </si>
  <si>
    <t>INV1049</t>
  </si>
  <si>
    <t>INV1050</t>
  </si>
  <si>
    <t>INV1051</t>
  </si>
  <si>
    <t>BEST SELLING BASED ON</t>
  </si>
  <si>
    <t>Row Labels</t>
  </si>
  <si>
    <t>Grand Total</t>
  </si>
  <si>
    <t>Sum of Total Sales</t>
  </si>
  <si>
    <t>Sum of Quantity</t>
  </si>
  <si>
    <t>MONTHLY SALES TREND</t>
  </si>
  <si>
    <t>Jan</t>
  </si>
  <si>
    <t>Feb</t>
  </si>
  <si>
    <t>Mar</t>
  </si>
  <si>
    <t>SALES BY CATEGORY</t>
  </si>
  <si>
    <t>SALES BY PAYMENT METHOD</t>
  </si>
  <si>
    <t>Sum of Profit</t>
  </si>
  <si>
    <t>PROFIT BY STORE</t>
  </si>
  <si>
    <t>TOP 5 PRODUCTS</t>
  </si>
  <si>
    <t>TOTAL ORDERS</t>
  </si>
  <si>
    <t>TOTAL SALES</t>
  </si>
  <si>
    <t>AVERAGE ORDER VALUE</t>
  </si>
  <si>
    <t>TOTAL PROFIT</t>
  </si>
  <si>
    <t>1.REVENUE</t>
  </si>
  <si>
    <t>2.QUANTITY SOLD</t>
  </si>
  <si>
    <t>COFFEE SHOP SALES DASHBOARD (JAN -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</si>
</sst>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_ [$₹-4009]\ * #,##0.00_ ;_ [$₹-4009]\ * \-#,##0.00_ ;_ [$₹-4009]\ * &quot;-&quot;??_ ;_ @_ "/>
  </numFmts>
  <fonts count="7" x14ac:knownFonts="1">
    <font>
      <sz val="11"/>
      <color theme="1"/>
      <name val="Calibri"/>
      <family val="2"/>
      <scheme val="minor"/>
    </font>
    <font>
      <sz val="11"/>
      <color theme="1"/>
      <name val="Calibri"/>
      <family val="2"/>
      <scheme val="minor"/>
    </font>
    <font>
      <sz val="11"/>
      <color rgb="FF9C5700"/>
      <name val="Calibri"/>
      <family val="2"/>
      <scheme val="minor"/>
    </font>
    <font>
      <b/>
      <sz val="11"/>
      <color theme="1"/>
      <name val="Calibri"/>
      <family val="2"/>
      <scheme val="minor"/>
    </font>
    <font>
      <b/>
      <sz val="22"/>
      <color theme="0"/>
      <name val="Calibri"/>
      <family val="2"/>
      <scheme val="minor"/>
    </font>
    <font>
      <b/>
      <sz val="22"/>
      <color theme="1"/>
      <name val="Calibri"/>
      <family val="2"/>
      <scheme val="minor"/>
    </font>
    <font>
      <b/>
      <sz val="22"/>
      <color theme="2" tint="-0.749992370372631"/>
      <name val="Calibri"/>
      <family val="2"/>
      <scheme val="minor"/>
    </font>
  </fonts>
  <fills count="9">
    <fill>
      <patternFill patternType="none"/>
    </fill>
    <fill>
      <patternFill patternType="gray125"/>
    </fill>
    <fill>
      <patternFill patternType="solid">
        <fgColor rgb="FFFFEB9C"/>
      </patternFill>
    </fill>
    <fill>
      <patternFill patternType="solid">
        <fgColor theme="5" tint="0.59999389629810485"/>
        <bgColor indexed="65"/>
      </patternFill>
    </fill>
    <fill>
      <patternFill patternType="solid">
        <fgColor theme="6" tint="0.39997558519241921"/>
        <bgColor indexed="65"/>
      </patternFill>
    </fill>
    <fill>
      <patternFill patternType="solid">
        <fgColor theme="7" tint="0.59999389629810485"/>
        <bgColor indexed="65"/>
      </patternFill>
    </fill>
    <fill>
      <patternFill patternType="solid">
        <fgColor theme="9" tint="0.59999389629810485"/>
        <bgColor indexed="65"/>
      </patternFill>
    </fill>
    <fill>
      <patternFill patternType="solid">
        <fgColor theme="0"/>
        <bgColor indexed="64"/>
      </patternFill>
    </fill>
    <fill>
      <patternFill patternType="solid">
        <fgColor theme="2" tint="-0.249977111117893"/>
        <bgColor indexed="64"/>
      </patternFill>
    </fill>
  </fills>
  <borders count="2">
    <border>
      <left/>
      <right/>
      <top/>
      <bottom/>
      <diagonal/>
    </border>
    <border>
      <left/>
      <right/>
      <top/>
      <bottom style="thin">
        <color theme="0" tint="-0.14999847407452621"/>
      </bottom>
      <diagonal/>
    </border>
  </borders>
  <cellStyleXfs count="6">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cellStyleXfs>
  <cellXfs count="25">
    <xf numFmtId="0" fontId="0" fillId="0" borderId="0" xfId="0"/>
    <xf numFmtId="164" fontId="0" fillId="0" borderId="0" xfId="0" applyNumberFormat="1"/>
    <xf numFmtId="0" fontId="2" fillId="2" borderId="0" xfId="1"/>
    <xf numFmtId="0" fontId="3" fillId="0" borderId="0" xfId="0" applyFont="1"/>
    <xf numFmtId="0" fontId="1" fillId="5" borderId="0" xfId="4"/>
    <xf numFmtId="0" fontId="3" fillId="5" borderId="0" xfId="4" applyFont="1"/>
    <xf numFmtId="0" fontId="3" fillId="5" borderId="0" xfId="4" applyFont="1" applyAlignment="1"/>
    <xf numFmtId="165" fontId="0" fillId="0" borderId="0" xfId="0" applyNumberFormat="1"/>
    <xf numFmtId="165" fontId="3" fillId="5" borderId="0" xfId="4" applyNumberFormat="1" applyFont="1" applyAlignment="1"/>
    <xf numFmtId="165" fontId="3" fillId="0" borderId="0" xfId="0" applyNumberFormat="1" applyFont="1"/>
    <xf numFmtId="0" fontId="0" fillId="0" borderId="1" xfId="0" applyBorder="1"/>
    <xf numFmtId="0" fontId="3" fillId="7" borderId="0" xfId="0" applyFont="1" applyFill="1"/>
    <xf numFmtId="165" fontId="0" fillId="0" borderId="0" xfId="0" pivotButton="1" applyNumberFormat="1"/>
    <xf numFmtId="165" fontId="0" fillId="0" borderId="0" xfId="0" applyNumberFormat="1" applyAlignment="1">
      <alignment horizontal="left"/>
    </xf>
    <xf numFmtId="0" fontId="5" fillId="7" borderId="0" xfId="0" applyFont="1" applyFill="1" applyAlignment="1">
      <alignment horizontal="center" wrapText="1"/>
    </xf>
    <xf numFmtId="0" fontId="5" fillId="7" borderId="0" xfId="0" applyFont="1" applyFill="1" applyAlignment="1">
      <alignment horizontal="center"/>
    </xf>
    <xf numFmtId="0" fontId="3" fillId="7" borderId="0" xfId="0" applyFont="1" applyFill="1" applyAlignment="1">
      <alignment horizontal="center"/>
    </xf>
    <xf numFmtId="0" fontId="6" fillId="8" borderId="0" xfId="0" applyFont="1" applyFill="1" applyAlignment="1">
      <alignment horizontal="center"/>
    </xf>
    <xf numFmtId="0" fontId="4" fillId="8" borderId="0" xfId="0" applyFont="1" applyFill="1" applyAlignment="1">
      <alignment horizontal="center"/>
    </xf>
    <xf numFmtId="0" fontId="3" fillId="2" borderId="0" xfId="1" applyFont="1" applyAlignment="1">
      <alignment horizontal="center"/>
    </xf>
    <xf numFmtId="0" fontId="3" fillId="6" borderId="0" xfId="5" applyFont="1" applyAlignment="1">
      <alignment horizontal="center"/>
    </xf>
    <xf numFmtId="0" fontId="3" fillId="3" borderId="0" xfId="2" applyFont="1" applyAlignment="1">
      <alignment horizontal="center"/>
    </xf>
    <xf numFmtId="0" fontId="3" fillId="4" borderId="0" xfId="3" applyFont="1" applyAlignment="1">
      <alignment horizontal="center"/>
    </xf>
    <xf numFmtId="0" fontId="3" fillId="5" borderId="0" xfId="4" applyFont="1" applyAlignment="1">
      <alignment horizontal="center"/>
    </xf>
    <xf numFmtId="0" fontId="3" fillId="0" borderId="0" xfId="0" applyFont="1"/>
  </cellXfs>
  <cellStyles count="6">
    <cellStyle name="40% - Accent2" xfId="2" builtinId="35"/>
    <cellStyle name="40% - Accent4" xfId="4" builtinId="43"/>
    <cellStyle name="40% - Accent6" xfId="5" builtinId="51"/>
    <cellStyle name="60% - Accent3" xfId="3" builtinId="40"/>
    <cellStyle name="Neutral" xfId="1" builtinId="28"/>
    <cellStyle name="Normal" xfId="0" builtinId="0"/>
  </cellStyles>
  <dxfs count="5">
    <dxf>
      <numFmt numFmtId="165" formatCode="_ [$₹-4009]\ * #,##0.00_ ;_ [$₹-4009]\ * \-#,##0.00_ ;_ [$₹-4009]\ * &quot;-&quot;??_ ;_ @_ "/>
    </dxf>
    <dxf>
      <numFmt numFmtId="165" formatCode="_ [$₹-4009]\ * #,##0.00_ ;_ [$₹-4009]\ * \-#,##0.00_ ;_ [$₹-4009]\ * &quot;-&quot;??_ ;_ @_ "/>
    </dxf>
    <dxf>
      <numFmt numFmtId="165" formatCode="_ [$₹-4009]\ * #,##0.00_ ;_ [$₹-4009]\ * \-#,##0.00_ ;_ [$₹-4009]\ * &quot;-&quot;??_ ;_ @_ "/>
    </dxf>
    <dxf>
      <font>
        <color rgb="FF006100"/>
      </font>
      <fill>
        <patternFill>
          <bgColor rgb="FFC6EFCE"/>
        </patternFill>
      </fill>
    </dxf>
    <dxf>
      <font>
        <color rgb="FF006100"/>
      </font>
      <fill>
        <patternFill>
          <bgColor rgb="FFC6EFCE"/>
        </patternFill>
      </fill>
    </dxf>
  </dxfs>
  <tableStyles count="0" defaultTableStyle="TableStyleMedium9" defaultPivotStyle="PivotStyleLight16"/>
  <colors>
    <mruColors>
      <color rgb="FF663300"/>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Sheet!$R$3</c:f>
              <c:strCache>
                <c:ptCount val="1"/>
                <c:pt idx="0">
                  <c:v>Total</c:v>
                </c:pt>
              </c:strCache>
            </c:strRef>
          </c:tx>
          <c:spPr>
            <a:solidFill>
              <a:schemeClr val="accent1"/>
            </a:solidFill>
            <a:ln>
              <a:noFill/>
            </a:ln>
            <a:effectLst/>
          </c:spPr>
          <c:invertIfNegative val="0"/>
          <c:cat>
            <c:strRef>
              <c:f>Sheet!$Q$4:$Q$11</c:f>
              <c:strCache>
                <c:ptCount val="7"/>
                <c:pt idx="0">
                  <c:v>Latte</c:v>
                </c:pt>
                <c:pt idx="1">
                  <c:v>Cappuccino</c:v>
                </c:pt>
                <c:pt idx="2">
                  <c:v>Sandwich</c:v>
                </c:pt>
                <c:pt idx="3">
                  <c:v>Mocha</c:v>
                </c:pt>
                <c:pt idx="4">
                  <c:v>Brownie</c:v>
                </c:pt>
                <c:pt idx="5">
                  <c:v>Espresso</c:v>
                </c:pt>
                <c:pt idx="6">
                  <c:v>Tea</c:v>
                </c:pt>
              </c:strCache>
            </c:strRef>
          </c:cat>
          <c:val>
            <c:numRef>
              <c:f>Sheet!$R$4:$R$11</c:f>
              <c:numCache>
                <c:formatCode>General</c:formatCode>
                <c:ptCount val="7"/>
                <c:pt idx="0">
                  <c:v>4961.25</c:v>
                </c:pt>
                <c:pt idx="1">
                  <c:v>4194.76</c:v>
                </c:pt>
                <c:pt idx="2">
                  <c:v>2788.7999999999997</c:v>
                </c:pt>
                <c:pt idx="3">
                  <c:v>1705.73</c:v>
                </c:pt>
                <c:pt idx="4">
                  <c:v>1625.4</c:v>
                </c:pt>
                <c:pt idx="5">
                  <c:v>1467.9</c:v>
                </c:pt>
                <c:pt idx="6">
                  <c:v>1344</c:v>
                </c:pt>
              </c:numCache>
            </c:numRef>
          </c:val>
          <c:extLst>
            <c:ext xmlns:c16="http://schemas.microsoft.com/office/drawing/2014/chart" uri="{C3380CC4-5D6E-409C-BE32-E72D297353CC}">
              <c16:uniqueId val="{00000000-EB78-4F03-930E-84CD18BC5B63}"/>
            </c:ext>
          </c:extLst>
        </c:ser>
        <c:dLbls>
          <c:showLegendKey val="0"/>
          <c:showVal val="0"/>
          <c:showCatName val="0"/>
          <c:showSerName val="0"/>
          <c:showPercent val="0"/>
          <c:showBubbleSize val="0"/>
        </c:dLbls>
        <c:gapWidth val="219"/>
        <c:overlap val="-27"/>
        <c:axId val="1014132800"/>
        <c:axId val="995541744"/>
      </c:barChart>
      <c:catAx>
        <c:axId val="101413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41744"/>
        <c:crosses val="autoZero"/>
        <c:auto val="1"/>
        <c:lblAlgn val="ctr"/>
        <c:lblOffset val="100"/>
        <c:noMultiLvlLbl val="0"/>
      </c:catAx>
      <c:valAx>
        <c:axId val="99554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3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a:t>
            </a:r>
            <a:endParaRPr lang="en-US"/>
          </a:p>
        </c:rich>
      </c:tx>
      <c:layout>
        <c:manualLayout>
          <c:xMode val="edge"/>
          <c:yMode val="edge"/>
          <c:x val="0.36025970131705409"/>
          <c:y val="8.19736861856717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Sheet!$V$3</c:f>
              <c:strCache>
                <c:ptCount val="1"/>
                <c:pt idx="0">
                  <c:v>Total</c:v>
                </c:pt>
              </c:strCache>
            </c:strRef>
          </c:tx>
          <c:spPr>
            <a:solidFill>
              <a:schemeClr val="accent1"/>
            </a:solidFill>
            <a:ln>
              <a:noFill/>
            </a:ln>
            <a:effectLst/>
          </c:spPr>
          <c:invertIfNegative val="0"/>
          <c:cat>
            <c:strRef>
              <c:f>Sheet!$U$4:$U$11</c:f>
              <c:strCache>
                <c:ptCount val="7"/>
                <c:pt idx="0">
                  <c:v>Latte</c:v>
                </c:pt>
                <c:pt idx="1">
                  <c:v>Cappuccino</c:v>
                </c:pt>
                <c:pt idx="2">
                  <c:v>Sandwich</c:v>
                </c:pt>
                <c:pt idx="3">
                  <c:v>Brownie</c:v>
                </c:pt>
                <c:pt idx="4">
                  <c:v>Tea</c:v>
                </c:pt>
                <c:pt idx="5">
                  <c:v>Espresso</c:v>
                </c:pt>
                <c:pt idx="6">
                  <c:v>Mocha</c:v>
                </c:pt>
              </c:strCache>
            </c:strRef>
          </c:cat>
          <c:val>
            <c:numRef>
              <c:f>Sheet!$V$4:$V$11</c:f>
              <c:numCache>
                <c:formatCode>General</c:formatCode>
                <c:ptCount val="7"/>
                <c:pt idx="0">
                  <c:v>28</c:v>
                </c:pt>
                <c:pt idx="1">
                  <c:v>25</c:v>
                </c:pt>
                <c:pt idx="2">
                  <c:v>18</c:v>
                </c:pt>
                <c:pt idx="3">
                  <c:v>18</c:v>
                </c:pt>
                <c:pt idx="4">
                  <c:v>17</c:v>
                </c:pt>
                <c:pt idx="5">
                  <c:v>12</c:v>
                </c:pt>
                <c:pt idx="6">
                  <c:v>9</c:v>
                </c:pt>
              </c:numCache>
            </c:numRef>
          </c:val>
          <c:extLst>
            <c:ext xmlns:c16="http://schemas.microsoft.com/office/drawing/2014/chart" uri="{C3380CC4-5D6E-409C-BE32-E72D297353CC}">
              <c16:uniqueId val="{00000000-C912-411D-AA65-8A4900753028}"/>
            </c:ext>
          </c:extLst>
        </c:ser>
        <c:dLbls>
          <c:showLegendKey val="0"/>
          <c:showVal val="0"/>
          <c:showCatName val="0"/>
          <c:showSerName val="0"/>
          <c:showPercent val="0"/>
          <c:showBubbleSize val="0"/>
        </c:dLbls>
        <c:gapWidth val="219"/>
        <c:overlap val="-27"/>
        <c:axId val="1014117952"/>
        <c:axId val="995551824"/>
      </c:barChart>
      <c:catAx>
        <c:axId val="101411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51824"/>
        <c:crosses val="autoZero"/>
        <c:auto val="1"/>
        <c:lblAlgn val="ctr"/>
        <c:lblOffset val="100"/>
        <c:noMultiLvlLbl val="0"/>
      </c:catAx>
      <c:valAx>
        <c:axId val="99555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1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Sheet!$R$31</c:f>
              <c:strCache>
                <c:ptCount val="1"/>
                <c:pt idx="0">
                  <c:v>Total</c:v>
                </c:pt>
              </c:strCache>
            </c:strRef>
          </c:tx>
          <c:spPr>
            <a:solidFill>
              <a:schemeClr val="accent1"/>
            </a:solidFill>
            <a:ln>
              <a:noFill/>
            </a:ln>
            <a:effectLst/>
            <a:sp3d/>
          </c:spPr>
          <c:cat>
            <c:strRef>
              <c:f>Sheet!$Q$32:$Q$35</c:f>
              <c:strCache>
                <c:ptCount val="3"/>
                <c:pt idx="0">
                  <c:v>Jan</c:v>
                </c:pt>
                <c:pt idx="1">
                  <c:v>Feb</c:v>
                </c:pt>
                <c:pt idx="2">
                  <c:v>Mar</c:v>
                </c:pt>
              </c:strCache>
            </c:strRef>
          </c:cat>
          <c:val>
            <c:numRef>
              <c:f>Sheet!$R$32:$R$35</c:f>
              <c:numCache>
                <c:formatCode>General</c:formatCode>
                <c:ptCount val="3"/>
                <c:pt idx="0">
                  <c:v>7191.9800000000005</c:v>
                </c:pt>
                <c:pt idx="1">
                  <c:v>4305.01</c:v>
                </c:pt>
                <c:pt idx="2">
                  <c:v>6590.85</c:v>
                </c:pt>
              </c:numCache>
            </c:numRef>
          </c:val>
          <c:smooth val="0"/>
          <c:extLst>
            <c:ext xmlns:c16="http://schemas.microsoft.com/office/drawing/2014/chart" uri="{C3380CC4-5D6E-409C-BE32-E72D297353CC}">
              <c16:uniqueId val="{00000000-88DF-4E06-AFBE-B8CFB19E85D9}"/>
            </c:ext>
          </c:extLst>
        </c:ser>
        <c:dLbls>
          <c:showLegendKey val="0"/>
          <c:showVal val="0"/>
          <c:showCatName val="0"/>
          <c:showSerName val="0"/>
          <c:showPercent val="0"/>
          <c:showBubbleSize val="0"/>
        </c:dLbls>
        <c:axId val="1014175488"/>
        <c:axId val="995563344"/>
        <c:axId val="1010536000"/>
      </c:line3DChart>
      <c:catAx>
        <c:axId val="1014175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3344"/>
        <c:crosses val="autoZero"/>
        <c:auto val="1"/>
        <c:lblAlgn val="ctr"/>
        <c:lblOffset val="100"/>
        <c:noMultiLvlLbl val="0"/>
      </c:catAx>
      <c:valAx>
        <c:axId val="99556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75488"/>
        <c:crosses val="autoZero"/>
        <c:crossBetween val="between"/>
      </c:valAx>
      <c:serAx>
        <c:axId val="101053600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33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Sheet!$Q$51</c:f>
              <c:strCache>
                <c:ptCount val="1"/>
                <c:pt idx="0">
                  <c:v>Total</c:v>
                </c:pt>
              </c:strCache>
            </c:strRef>
          </c:tx>
          <c:spPr>
            <a:solidFill>
              <a:schemeClr val="accent1"/>
            </a:solidFill>
            <a:ln>
              <a:noFill/>
            </a:ln>
            <a:effectLst/>
            <a:sp3d/>
          </c:spPr>
          <c:invertIfNegative val="0"/>
          <c:cat>
            <c:strRef>
              <c:f>Sheet!$P$52:$P$56</c:f>
              <c:strCache>
                <c:ptCount val="4"/>
                <c:pt idx="0">
                  <c:v>Bakery</c:v>
                </c:pt>
                <c:pt idx="1">
                  <c:v>Coffee</c:v>
                </c:pt>
                <c:pt idx="2">
                  <c:v>Food</c:v>
                </c:pt>
                <c:pt idx="3">
                  <c:v>Tea</c:v>
                </c:pt>
              </c:strCache>
            </c:strRef>
          </c:cat>
          <c:val>
            <c:numRef>
              <c:f>Sheet!$Q$52:$Q$56</c:f>
              <c:numCache>
                <c:formatCode>General</c:formatCode>
                <c:ptCount val="4"/>
                <c:pt idx="0">
                  <c:v>1625.4</c:v>
                </c:pt>
                <c:pt idx="1">
                  <c:v>12329.639999999998</c:v>
                </c:pt>
                <c:pt idx="2">
                  <c:v>2788.7999999999997</c:v>
                </c:pt>
                <c:pt idx="3">
                  <c:v>1344</c:v>
                </c:pt>
              </c:numCache>
            </c:numRef>
          </c:val>
          <c:extLst>
            <c:ext xmlns:c16="http://schemas.microsoft.com/office/drawing/2014/chart" uri="{C3380CC4-5D6E-409C-BE32-E72D297353CC}">
              <c16:uniqueId val="{00000000-6BD4-4B6B-B9CF-2AB62797BA39}"/>
            </c:ext>
          </c:extLst>
        </c:ser>
        <c:dLbls>
          <c:showLegendKey val="0"/>
          <c:showVal val="0"/>
          <c:showCatName val="0"/>
          <c:showSerName val="0"/>
          <c:showPercent val="0"/>
          <c:showBubbleSize val="0"/>
        </c:dLbls>
        <c:gapWidth val="150"/>
        <c:shape val="box"/>
        <c:axId val="991327008"/>
        <c:axId val="995562864"/>
        <c:axId val="1493159312"/>
      </c:bar3DChart>
      <c:catAx>
        <c:axId val="99132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2864"/>
        <c:crosses val="autoZero"/>
        <c:auto val="1"/>
        <c:lblAlgn val="ctr"/>
        <c:lblOffset val="100"/>
        <c:noMultiLvlLbl val="0"/>
      </c:catAx>
      <c:valAx>
        <c:axId val="99556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327008"/>
        <c:crosses val="autoZero"/>
        <c:crossBetween val="between"/>
      </c:valAx>
      <c:serAx>
        <c:axId val="14931593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286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Sheet!$W$51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1DA-4560-BC39-8854105A3BB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1DA-4560-BC39-8854105A3BB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1DA-4560-BC39-8854105A3B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Sheet!$V$52:$V$55</c:f>
              <c:strCache>
                <c:ptCount val="3"/>
                <c:pt idx="0">
                  <c:v>Card</c:v>
                </c:pt>
                <c:pt idx="1">
                  <c:v>Cash</c:v>
                </c:pt>
                <c:pt idx="2">
                  <c:v>UPI</c:v>
                </c:pt>
              </c:strCache>
            </c:strRef>
          </c:cat>
          <c:val>
            <c:numRef>
              <c:f>Sheet!$W$52:$W$55</c:f>
              <c:numCache>
                <c:formatCode>General</c:formatCode>
                <c:ptCount val="3"/>
                <c:pt idx="0">
                  <c:v>7382.5600000000013</c:v>
                </c:pt>
                <c:pt idx="1">
                  <c:v>4130.7</c:v>
                </c:pt>
                <c:pt idx="2">
                  <c:v>6574.58</c:v>
                </c:pt>
              </c:numCache>
            </c:numRef>
          </c:val>
          <c:extLst>
            <c:ext xmlns:c16="http://schemas.microsoft.com/office/drawing/2014/chart" uri="{C3380CC4-5D6E-409C-BE32-E72D297353CC}">
              <c16:uniqueId val="{00000000-4A05-44D9-9234-A9E984755EB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Sheet!$R$75</c:f>
              <c:strCache>
                <c:ptCount val="1"/>
                <c:pt idx="0">
                  <c:v>Total</c:v>
                </c:pt>
              </c:strCache>
            </c:strRef>
          </c:tx>
          <c:spPr>
            <a:solidFill>
              <a:schemeClr val="accent1"/>
            </a:solidFill>
            <a:ln>
              <a:noFill/>
            </a:ln>
            <a:effectLst/>
            <a:sp3d/>
          </c:spPr>
          <c:invertIfNegative val="0"/>
          <c:cat>
            <c:strRef>
              <c:f>Sheet!$Q$76:$Q$79</c:f>
              <c:strCache>
                <c:ptCount val="3"/>
                <c:pt idx="0">
                  <c:v>Downtown</c:v>
                </c:pt>
                <c:pt idx="1">
                  <c:v>Mall</c:v>
                </c:pt>
                <c:pt idx="2">
                  <c:v>Tech Park</c:v>
                </c:pt>
              </c:strCache>
            </c:strRef>
          </c:cat>
          <c:val>
            <c:numRef>
              <c:f>Sheet!$R$76:$R$79</c:f>
              <c:numCache>
                <c:formatCode>General</c:formatCode>
                <c:ptCount val="3"/>
                <c:pt idx="0">
                  <c:v>2664.58</c:v>
                </c:pt>
                <c:pt idx="1">
                  <c:v>1787.1</c:v>
                </c:pt>
                <c:pt idx="2">
                  <c:v>2276.16</c:v>
                </c:pt>
              </c:numCache>
            </c:numRef>
          </c:val>
          <c:extLst>
            <c:ext xmlns:c16="http://schemas.microsoft.com/office/drawing/2014/chart" uri="{C3380CC4-5D6E-409C-BE32-E72D297353CC}">
              <c16:uniqueId val="{00000000-5DF8-493A-9EC4-03C86BF1927D}"/>
            </c:ext>
          </c:extLst>
        </c:ser>
        <c:dLbls>
          <c:showLegendKey val="0"/>
          <c:showVal val="0"/>
          <c:showCatName val="0"/>
          <c:showSerName val="0"/>
          <c:showPercent val="0"/>
          <c:showBubbleSize val="0"/>
        </c:dLbls>
        <c:gapWidth val="150"/>
        <c:shape val="box"/>
        <c:axId val="259912112"/>
        <c:axId val="995571984"/>
        <c:axId val="0"/>
      </c:bar3DChart>
      <c:catAx>
        <c:axId val="259912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71984"/>
        <c:crosses val="autoZero"/>
        <c:auto val="1"/>
        <c:lblAlgn val="ctr"/>
        <c:lblOffset val="100"/>
        <c:noMultiLvlLbl val="0"/>
      </c:catAx>
      <c:valAx>
        <c:axId val="99557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1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dashboard.xlsx]Sheet!PivotTable12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Sheet!$Y$75</c:f>
              <c:strCache>
                <c:ptCount val="1"/>
                <c:pt idx="0">
                  <c:v>Total</c:v>
                </c:pt>
              </c:strCache>
            </c:strRef>
          </c:tx>
          <c:spPr>
            <a:solidFill>
              <a:schemeClr val="accent1"/>
            </a:solidFill>
            <a:ln>
              <a:noFill/>
            </a:ln>
            <a:effectLst/>
          </c:spPr>
          <c:invertIfNegative val="0"/>
          <c:cat>
            <c:strRef>
              <c:f>Sheet!$X$76:$X$83</c:f>
              <c:strCache>
                <c:ptCount val="7"/>
                <c:pt idx="0">
                  <c:v>Latte</c:v>
                </c:pt>
                <c:pt idx="1">
                  <c:v>Cappuccino</c:v>
                </c:pt>
                <c:pt idx="2">
                  <c:v>Sandwich</c:v>
                </c:pt>
                <c:pt idx="3">
                  <c:v>Mocha</c:v>
                </c:pt>
                <c:pt idx="4">
                  <c:v>Brownie</c:v>
                </c:pt>
                <c:pt idx="5">
                  <c:v>Espresso</c:v>
                </c:pt>
                <c:pt idx="6">
                  <c:v>Tea</c:v>
                </c:pt>
              </c:strCache>
            </c:strRef>
          </c:cat>
          <c:val>
            <c:numRef>
              <c:f>Sheet!$Y$76:$Y$83</c:f>
              <c:numCache>
                <c:formatCode>General</c:formatCode>
                <c:ptCount val="7"/>
                <c:pt idx="0">
                  <c:v>4961.25</c:v>
                </c:pt>
                <c:pt idx="1">
                  <c:v>4194.76</c:v>
                </c:pt>
                <c:pt idx="2">
                  <c:v>2788.7999999999997</c:v>
                </c:pt>
                <c:pt idx="3">
                  <c:v>1705.73</c:v>
                </c:pt>
                <c:pt idx="4">
                  <c:v>1625.4</c:v>
                </c:pt>
                <c:pt idx="5">
                  <c:v>1467.9</c:v>
                </c:pt>
                <c:pt idx="6">
                  <c:v>1344</c:v>
                </c:pt>
              </c:numCache>
            </c:numRef>
          </c:val>
          <c:extLst>
            <c:ext xmlns:c16="http://schemas.microsoft.com/office/drawing/2014/chart" uri="{C3380CC4-5D6E-409C-BE32-E72D297353CC}">
              <c16:uniqueId val="{00000000-A72F-44BD-84F4-519A01ACFF71}"/>
            </c:ext>
          </c:extLst>
        </c:ser>
        <c:dLbls>
          <c:showLegendKey val="0"/>
          <c:showVal val="0"/>
          <c:showCatName val="0"/>
          <c:showSerName val="0"/>
          <c:showPercent val="0"/>
          <c:showBubbleSize val="0"/>
        </c:dLbls>
        <c:gapWidth val="150"/>
        <c:overlap val="100"/>
        <c:axId val="1832225536"/>
        <c:axId val="995563824"/>
      </c:barChart>
      <c:catAx>
        <c:axId val="183222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3824"/>
        <c:crosses val="autoZero"/>
        <c:auto val="1"/>
        <c:lblAlgn val="ctr"/>
        <c:lblOffset val="100"/>
        <c:noMultiLvlLbl val="0"/>
      </c:catAx>
      <c:valAx>
        <c:axId val="995563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22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dashboard.xlsx]Sheet!PivotTable8</c:name>
    <c:fmtId val="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83483976295132"/>
          <c:y val="0.20079616381035295"/>
          <c:w val="0.6402711148899568"/>
          <c:h val="0.51400869180597197"/>
        </c:manualLayout>
      </c:layout>
      <c:lineChart>
        <c:grouping val="standard"/>
        <c:varyColors val="0"/>
        <c:ser>
          <c:idx val="0"/>
          <c:order val="0"/>
          <c:tx>
            <c:strRef>
              <c:f>Sheet!$R$31</c:f>
              <c:strCache>
                <c:ptCount val="1"/>
                <c:pt idx="0">
                  <c:v>Total</c:v>
                </c:pt>
              </c:strCache>
            </c:strRef>
          </c:tx>
          <c:spPr>
            <a:ln w="28575" cap="rnd">
              <a:solidFill>
                <a:schemeClr val="accent1"/>
              </a:solidFill>
              <a:round/>
            </a:ln>
            <a:effectLst/>
          </c:spPr>
          <c:marker>
            <c:symbol val="none"/>
          </c:marker>
          <c:cat>
            <c:strRef>
              <c:f>Sheet!$Q$32:$Q$35</c:f>
              <c:strCache>
                <c:ptCount val="3"/>
                <c:pt idx="0">
                  <c:v>Jan</c:v>
                </c:pt>
                <c:pt idx="1">
                  <c:v>Feb</c:v>
                </c:pt>
                <c:pt idx="2">
                  <c:v>Mar</c:v>
                </c:pt>
              </c:strCache>
            </c:strRef>
          </c:cat>
          <c:val>
            <c:numRef>
              <c:f>Sheet!$R$32:$R$35</c:f>
              <c:numCache>
                <c:formatCode>General</c:formatCode>
                <c:ptCount val="3"/>
                <c:pt idx="0">
                  <c:v>7191.9800000000005</c:v>
                </c:pt>
                <c:pt idx="1">
                  <c:v>4305.01</c:v>
                </c:pt>
                <c:pt idx="2">
                  <c:v>6590.85</c:v>
                </c:pt>
              </c:numCache>
            </c:numRef>
          </c:val>
          <c:smooth val="0"/>
          <c:extLst>
            <c:ext xmlns:c16="http://schemas.microsoft.com/office/drawing/2014/chart" uri="{C3380CC4-5D6E-409C-BE32-E72D297353CC}">
              <c16:uniqueId val="{00000000-D88D-4BAE-B846-C7932FE00910}"/>
            </c:ext>
          </c:extLst>
        </c:ser>
        <c:dLbls>
          <c:showLegendKey val="0"/>
          <c:showVal val="0"/>
          <c:showCatName val="0"/>
          <c:showSerName val="0"/>
          <c:showPercent val="0"/>
          <c:showBubbleSize val="0"/>
        </c:dLbls>
        <c:smooth val="0"/>
        <c:axId val="1014175488"/>
        <c:axId val="995563344"/>
      </c:lineChart>
      <c:catAx>
        <c:axId val="1014175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3344"/>
        <c:crosses val="autoZero"/>
        <c:auto val="1"/>
        <c:lblAlgn val="ctr"/>
        <c:lblOffset val="100"/>
        <c:noMultiLvlLbl val="0"/>
      </c:catAx>
      <c:valAx>
        <c:axId val="99556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7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dashboard.xlsx]Sheet!PivotTable9</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Sheet!$Q$51</c:f>
              <c:strCache>
                <c:ptCount val="1"/>
                <c:pt idx="0">
                  <c:v>Total</c:v>
                </c:pt>
              </c:strCache>
            </c:strRef>
          </c:tx>
          <c:spPr>
            <a:solidFill>
              <a:schemeClr val="accent1"/>
            </a:solidFill>
            <a:ln>
              <a:noFill/>
            </a:ln>
            <a:effectLst/>
          </c:spPr>
          <c:invertIfNegative val="0"/>
          <c:cat>
            <c:strRef>
              <c:f>Sheet!$P$52:$P$56</c:f>
              <c:strCache>
                <c:ptCount val="4"/>
                <c:pt idx="0">
                  <c:v>Bakery</c:v>
                </c:pt>
                <c:pt idx="1">
                  <c:v>Coffee</c:v>
                </c:pt>
                <c:pt idx="2">
                  <c:v>Food</c:v>
                </c:pt>
                <c:pt idx="3">
                  <c:v>Tea</c:v>
                </c:pt>
              </c:strCache>
            </c:strRef>
          </c:cat>
          <c:val>
            <c:numRef>
              <c:f>Sheet!$Q$52:$Q$56</c:f>
              <c:numCache>
                <c:formatCode>General</c:formatCode>
                <c:ptCount val="4"/>
                <c:pt idx="0">
                  <c:v>1625.4</c:v>
                </c:pt>
                <c:pt idx="1">
                  <c:v>12329.639999999998</c:v>
                </c:pt>
                <c:pt idx="2">
                  <c:v>2788.7999999999997</c:v>
                </c:pt>
                <c:pt idx="3">
                  <c:v>1344</c:v>
                </c:pt>
              </c:numCache>
            </c:numRef>
          </c:val>
          <c:extLst>
            <c:ext xmlns:c16="http://schemas.microsoft.com/office/drawing/2014/chart" uri="{C3380CC4-5D6E-409C-BE32-E72D297353CC}">
              <c16:uniqueId val="{00000000-4955-4D50-9384-113A4942B154}"/>
            </c:ext>
          </c:extLst>
        </c:ser>
        <c:dLbls>
          <c:showLegendKey val="0"/>
          <c:showVal val="0"/>
          <c:showCatName val="0"/>
          <c:showSerName val="0"/>
          <c:showPercent val="0"/>
          <c:showBubbleSize val="0"/>
        </c:dLbls>
        <c:gapWidth val="150"/>
        <c:axId val="991327008"/>
        <c:axId val="995562864"/>
      </c:barChart>
      <c:catAx>
        <c:axId val="99132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2864"/>
        <c:crosses val="autoZero"/>
        <c:auto val="1"/>
        <c:lblAlgn val="ctr"/>
        <c:lblOffset val="100"/>
        <c:noMultiLvlLbl val="0"/>
      </c:catAx>
      <c:valAx>
        <c:axId val="99556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32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dashboard.xlsx]Sheet!PivotTable10</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Sheet!$W$51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2D-4A87-8DE0-D908EB6542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2D-4A87-8DE0-D908EB6542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2D-4A87-8DE0-D908EB6542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Sheet!$V$52:$V$55</c:f>
              <c:strCache>
                <c:ptCount val="3"/>
                <c:pt idx="0">
                  <c:v>Card</c:v>
                </c:pt>
                <c:pt idx="1">
                  <c:v>Cash</c:v>
                </c:pt>
                <c:pt idx="2">
                  <c:v>UPI</c:v>
                </c:pt>
              </c:strCache>
            </c:strRef>
          </c:cat>
          <c:val>
            <c:numRef>
              <c:f>Sheet!$W$52:$W$55</c:f>
              <c:numCache>
                <c:formatCode>General</c:formatCode>
                <c:ptCount val="3"/>
                <c:pt idx="0">
                  <c:v>7382.5600000000013</c:v>
                </c:pt>
                <c:pt idx="1">
                  <c:v>4130.7</c:v>
                </c:pt>
                <c:pt idx="2">
                  <c:v>6574.58</c:v>
                </c:pt>
              </c:numCache>
            </c:numRef>
          </c:val>
          <c:extLst>
            <c:ext xmlns:c16="http://schemas.microsoft.com/office/drawing/2014/chart" uri="{C3380CC4-5D6E-409C-BE32-E72D297353CC}">
              <c16:uniqueId val="{00000006-572D-4A87-8DE0-D908EB65422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dashboard.xlsx]Sheet!PivotTable11</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Sheet!$R$75</c:f>
              <c:strCache>
                <c:ptCount val="1"/>
                <c:pt idx="0">
                  <c:v>Total</c:v>
                </c:pt>
              </c:strCache>
            </c:strRef>
          </c:tx>
          <c:spPr>
            <a:solidFill>
              <a:schemeClr val="accent1"/>
            </a:solidFill>
            <a:ln>
              <a:noFill/>
            </a:ln>
            <a:effectLst/>
          </c:spPr>
          <c:invertIfNegative val="0"/>
          <c:cat>
            <c:strRef>
              <c:f>Sheet!$Q$76:$Q$79</c:f>
              <c:strCache>
                <c:ptCount val="3"/>
                <c:pt idx="0">
                  <c:v>Downtown</c:v>
                </c:pt>
                <c:pt idx="1">
                  <c:v>Mall</c:v>
                </c:pt>
                <c:pt idx="2">
                  <c:v>Tech Park</c:v>
                </c:pt>
              </c:strCache>
            </c:strRef>
          </c:cat>
          <c:val>
            <c:numRef>
              <c:f>Sheet!$R$76:$R$79</c:f>
              <c:numCache>
                <c:formatCode>General</c:formatCode>
                <c:ptCount val="3"/>
                <c:pt idx="0">
                  <c:v>2664.58</c:v>
                </c:pt>
                <c:pt idx="1">
                  <c:v>1787.1</c:v>
                </c:pt>
                <c:pt idx="2">
                  <c:v>2276.16</c:v>
                </c:pt>
              </c:numCache>
            </c:numRef>
          </c:val>
          <c:extLst>
            <c:ext xmlns:c16="http://schemas.microsoft.com/office/drawing/2014/chart" uri="{C3380CC4-5D6E-409C-BE32-E72D297353CC}">
              <c16:uniqueId val="{00000000-EBF4-40DC-B06D-714D57E93BCE}"/>
            </c:ext>
          </c:extLst>
        </c:ser>
        <c:dLbls>
          <c:showLegendKey val="0"/>
          <c:showVal val="0"/>
          <c:showCatName val="0"/>
          <c:showSerName val="0"/>
          <c:showPercent val="0"/>
          <c:showBubbleSize val="0"/>
        </c:dLbls>
        <c:gapWidth val="150"/>
        <c:axId val="259912112"/>
        <c:axId val="995571984"/>
      </c:barChart>
      <c:catAx>
        <c:axId val="259912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71984"/>
        <c:crosses val="autoZero"/>
        <c:auto val="1"/>
        <c:lblAlgn val="ctr"/>
        <c:lblOffset val="100"/>
        <c:noMultiLvlLbl val="0"/>
      </c:catAx>
      <c:valAx>
        <c:axId val="99557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1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Sheet!$R$3</c:f>
              <c:strCache>
                <c:ptCount val="1"/>
                <c:pt idx="0">
                  <c:v>Total</c:v>
                </c:pt>
              </c:strCache>
            </c:strRef>
          </c:tx>
          <c:spPr>
            <a:solidFill>
              <a:schemeClr val="accent1"/>
            </a:solidFill>
            <a:ln>
              <a:noFill/>
            </a:ln>
            <a:effectLst/>
          </c:spPr>
          <c:invertIfNegative val="0"/>
          <c:cat>
            <c:strRef>
              <c:f>Sheet!$Q$4:$Q$11</c:f>
              <c:strCache>
                <c:ptCount val="7"/>
                <c:pt idx="0">
                  <c:v>Latte</c:v>
                </c:pt>
                <c:pt idx="1">
                  <c:v>Cappuccino</c:v>
                </c:pt>
                <c:pt idx="2">
                  <c:v>Sandwich</c:v>
                </c:pt>
                <c:pt idx="3">
                  <c:v>Mocha</c:v>
                </c:pt>
                <c:pt idx="4">
                  <c:v>Brownie</c:v>
                </c:pt>
                <c:pt idx="5">
                  <c:v>Espresso</c:v>
                </c:pt>
                <c:pt idx="6">
                  <c:v>Tea</c:v>
                </c:pt>
              </c:strCache>
            </c:strRef>
          </c:cat>
          <c:val>
            <c:numRef>
              <c:f>Sheet!$R$4:$R$11</c:f>
              <c:numCache>
                <c:formatCode>General</c:formatCode>
                <c:ptCount val="7"/>
                <c:pt idx="0">
                  <c:v>4961.25</c:v>
                </c:pt>
                <c:pt idx="1">
                  <c:v>4194.76</c:v>
                </c:pt>
                <c:pt idx="2">
                  <c:v>2788.7999999999997</c:v>
                </c:pt>
                <c:pt idx="3">
                  <c:v>1705.73</c:v>
                </c:pt>
                <c:pt idx="4">
                  <c:v>1625.4</c:v>
                </c:pt>
                <c:pt idx="5">
                  <c:v>1467.9</c:v>
                </c:pt>
                <c:pt idx="6">
                  <c:v>1344</c:v>
                </c:pt>
              </c:numCache>
            </c:numRef>
          </c:val>
          <c:extLst>
            <c:ext xmlns:c16="http://schemas.microsoft.com/office/drawing/2014/chart" uri="{C3380CC4-5D6E-409C-BE32-E72D297353CC}">
              <c16:uniqueId val="{00000000-4FD4-4361-9BF2-BAD167A0DDE2}"/>
            </c:ext>
          </c:extLst>
        </c:ser>
        <c:dLbls>
          <c:showLegendKey val="0"/>
          <c:showVal val="0"/>
          <c:showCatName val="0"/>
          <c:showSerName val="0"/>
          <c:showPercent val="0"/>
          <c:showBubbleSize val="0"/>
        </c:dLbls>
        <c:gapWidth val="219"/>
        <c:overlap val="-27"/>
        <c:axId val="1014132800"/>
        <c:axId val="995541744"/>
      </c:barChart>
      <c:catAx>
        <c:axId val="101413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41744"/>
        <c:crosses val="autoZero"/>
        <c:auto val="1"/>
        <c:lblAlgn val="ctr"/>
        <c:lblOffset val="100"/>
        <c:noMultiLvlLbl val="0"/>
      </c:catAx>
      <c:valAx>
        <c:axId val="99554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3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dashboard.xlsx]Sheet!PivotTable12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62722115952688"/>
          <c:y val="0.14433435100202449"/>
          <c:w val="0.55636990612016113"/>
          <c:h val="0.67237153764832502"/>
        </c:manualLayout>
      </c:layout>
      <c:barChart>
        <c:barDir val="bar"/>
        <c:grouping val="clustered"/>
        <c:varyColors val="0"/>
        <c:ser>
          <c:idx val="0"/>
          <c:order val="0"/>
          <c:tx>
            <c:strRef>
              <c:f>Sheet!$Y$75</c:f>
              <c:strCache>
                <c:ptCount val="1"/>
                <c:pt idx="0">
                  <c:v>Total</c:v>
                </c:pt>
              </c:strCache>
            </c:strRef>
          </c:tx>
          <c:spPr>
            <a:solidFill>
              <a:schemeClr val="accent1"/>
            </a:solidFill>
            <a:ln>
              <a:noFill/>
            </a:ln>
            <a:effectLst/>
          </c:spPr>
          <c:invertIfNegative val="0"/>
          <c:cat>
            <c:strRef>
              <c:f>Sheet!$X$76:$X$83</c:f>
              <c:strCache>
                <c:ptCount val="7"/>
                <c:pt idx="0">
                  <c:v>Latte</c:v>
                </c:pt>
                <c:pt idx="1">
                  <c:v>Cappuccino</c:v>
                </c:pt>
                <c:pt idx="2">
                  <c:v>Sandwich</c:v>
                </c:pt>
                <c:pt idx="3">
                  <c:v>Mocha</c:v>
                </c:pt>
                <c:pt idx="4">
                  <c:v>Brownie</c:v>
                </c:pt>
                <c:pt idx="5">
                  <c:v>Espresso</c:v>
                </c:pt>
                <c:pt idx="6">
                  <c:v>Tea</c:v>
                </c:pt>
              </c:strCache>
            </c:strRef>
          </c:cat>
          <c:val>
            <c:numRef>
              <c:f>Sheet!$Y$76:$Y$83</c:f>
              <c:numCache>
                <c:formatCode>General</c:formatCode>
                <c:ptCount val="7"/>
                <c:pt idx="0">
                  <c:v>4961.25</c:v>
                </c:pt>
                <c:pt idx="1">
                  <c:v>4194.76</c:v>
                </c:pt>
                <c:pt idx="2">
                  <c:v>2788.7999999999997</c:v>
                </c:pt>
                <c:pt idx="3">
                  <c:v>1705.73</c:v>
                </c:pt>
                <c:pt idx="4">
                  <c:v>1625.4</c:v>
                </c:pt>
                <c:pt idx="5">
                  <c:v>1467.9</c:v>
                </c:pt>
                <c:pt idx="6">
                  <c:v>1344</c:v>
                </c:pt>
              </c:numCache>
            </c:numRef>
          </c:val>
          <c:extLst>
            <c:ext xmlns:c16="http://schemas.microsoft.com/office/drawing/2014/chart" uri="{C3380CC4-5D6E-409C-BE32-E72D297353CC}">
              <c16:uniqueId val="{00000000-97E0-443E-94C3-076BBBF02DAB}"/>
            </c:ext>
          </c:extLst>
        </c:ser>
        <c:dLbls>
          <c:showLegendKey val="0"/>
          <c:showVal val="0"/>
          <c:showCatName val="0"/>
          <c:showSerName val="0"/>
          <c:showPercent val="0"/>
          <c:showBubbleSize val="0"/>
        </c:dLbls>
        <c:gapWidth val="150"/>
        <c:axId val="1832225536"/>
        <c:axId val="995563824"/>
      </c:barChart>
      <c:catAx>
        <c:axId val="183222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3824"/>
        <c:crosses val="autoZero"/>
        <c:auto val="1"/>
        <c:lblAlgn val="ctr"/>
        <c:lblOffset val="100"/>
        <c:noMultiLvlLbl val="0"/>
      </c:catAx>
      <c:valAx>
        <c:axId val="995563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22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15</xdr:col>
      <xdr:colOff>277677</xdr:colOff>
      <xdr:row>11</xdr:row>
      <xdr:rowOff>175932</xdr:rowOff>
    </xdr:from>
    <xdr:to>
      <xdr:col>18</xdr:col>
      <xdr:colOff>1061013</xdr:colOff>
      <xdr:row>26</xdr:row>
      <xdr:rowOff>77165</xdr:rowOff>
    </xdr:to>
    <xdr:graphicFrame macro="">
      <xdr:nvGraphicFramePr>
        <xdr:cNvPr id="2" name="Chart 1">
          <a:extLst>
            <a:ext uri="{FF2B5EF4-FFF2-40B4-BE49-F238E27FC236}">
              <a16:creationId xmlns:a16="http://schemas.microsoft.com/office/drawing/2014/main" id="{F07CF6D0-B5BB-0E58-D103-DCCE500445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260431</xdr:colOff>
      <xdr:row>11</xdr:row>
      <xdr:rowOff>163975</xdr:rowOff>
    </xdr:from>
    <xdr:to>
      <xdr:col>23</xdr:col>
      <xdr:colOff>588380</xdr:colOff>
      <xdr:row>25</xdr:row>
      <xdr:rowOff>144683</xdr:rowOff>
    </xdr:to>
    <xdr:graphicFrame macro="">
      <xdr:nvGraphicFramePr>
        <xdr:cNvPr id="3" name="Chart 2">
          <a:extLst>
            <a:ext uri="{FF2B5EF4-FFF2-40B4-BE49-F238E27FC236}">
              <a16:creationId xmlns:a16="http://schemas.microsoft.com/office/drawing/2014/main" id="{92F46A38-75B3-7022-FDAD-ECF2F1A6A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604526</xdr:colOff>
      <xdr:row>29</xdr:row>
      <xdr:rowOff>178268</xdr:rowOff>
    </xdr:from>
    <xdr:to>
      <xdr:col>24</xdr:col>
      <xdr:colOff>176561</xdr:colOff>
      <xdr:row>44</xdr:row>
      <xdr:rowOff>141198</xdr:rowOff>
    </xdr:to>
    <xdr:graphicFrame macro="">
      <xdr:nvGraphicFramePr>
        <xdr:cNvPr id="4" name="Chart 3">
          <a:extLst>
            <a:ext uri="{FF2B5EF4-FFF2-40B4-BE49-F238E27FC236}">
              <a16:creationId xmlns:a16="http://schemas.microsoft.com/office/drawing/2014/main" id="{34ADD1C0-C9A2-C896-D28E-9B53B917C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77976</xdr:colOff>
      <xdr:row>56</xdr:row>
      <xdr:rowOff>111732</xdr:rowOff>
    </xdr:from>
    <xdr:to>
      <xdr:col>19</xdr:col>
      <xdr:colOff>463176</xdr:colOff>
      <xdr:row>70</xdr:row>
      <xdr:rowOff>69715</xdr:rowOff>
    </xdr:to>
    <xdr:graphicFrame macro="">
      <xdr:nvGraphicFramePr>
        <xdr:cNvPr id="5" name="Chart 4">
          <a:extLst>
            <a:ext uri="{FF2B5EF4-FFF2-40B4-BE49-F238E27FC236}">
              <a16:creationId xmlns:a16="http://schemas.microsoft.com/office/drawing/2014/main" id="{D1C744AB-7FFF-14BD-F4C7-9F4965EF3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18584</xdr:colOff>
      <xdr:row>50</xdr:row>
      <xdr:rowOff>65047</xdr:rowOff>
    </xdr:from>
    <xdr:to>
      <xdr:col>28</xdr:col>
      <xdr:colOff>4888</xdr:colOff>
      <xdr:row>62</xdr:row>
      <xdr:rowOff>131383</xdr:rowOff>
    </xdr:to>
    <xdr:graphicFrame macro="">
      <xdr:nvGraphicFramePr>
        <xdr:cNvPr id="6" name="Chart 5">
          <a:extLst>
            <a:ext uri="{FF2B5EF4-FFF2-40B4-BE49-F238E27FC236}">
              <a16:creationId xmlns:a16="http://schemas.microsoft.com/office/drawing/2014/main" id="{E6E86D3D-E309-E2BB-DA70-29BE3E4A7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441739</xdr:colOff>
      <xdr:row>79</xdr:row>
      <xdr:rowOff>44173</xdr:rowOff>
    </xdr:from>
    <xdr:to>
      <xdr:col>20</xdr:col>
      <xdr:colOff>806174</xdr:colOff>
      <xdr:row>93</xdr:row>
      <xdr:rowOff>46381</xdr:rowOff>
    </xdr:to>
    <xdr:graphicFrame macro="">
      <xdr:nvGraphicFramePr>
        <xdr:cNvPr id="7" name="Chart 6">
          <a:extLst>
            <a:ext uri="{FF2B5EF4-FFF2-40B4-BE49-F238E27FC236}">
              <a16:creationId xmlns:a16="http://schemas.microsoft.com/office/drawing/2014/main" id="{96044450-F803-DE0D-3678-FDC9D2640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197492</xdr:colOff>
      <xdr:row>82</xdr:row>
      <xdr:rowOff>159099</xdr:rowOff>
    </xdr:from>
    <xdr:to>
      <xdr:col>26</xdr:col>
      <xdr:colOff>150725</xdr:colOff>
      <xdr:row>95</xdr:row>
      <xdr:rowOff>36256</xdr:rowOff>
    </xdr:to>
    <xdr:graphicFrame macro="">
      <xdr:nvGraphicFramePr>
        <xdr:cNvPr id="9" name="Chart 8">
          <a:extLst>
            <a:ext uri="{FF2B5EF4-FFF2-40B4-BE49-F238E27FC236}">
              <a16:creationId xmlns:a16="http://schemas.microsoft.com/office/drawing/2014/main" id="{92BB850D-BAF2-5F6D-E1B3-8FDAE8BA4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1502</xdr:colOff>
      <xdr:row>56</xdr:row>
      <xdr:rowOff>177410</xdr:rowOff>
    </xdr:from>
    <xdr:to>
      <xdr:col>5</xdr:col>
      <xdr:colOff>610943</xdr:colOff>
      <xdr:row>70</xdr:row>
      <xdr:rowOff>56015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70199033-EB58-759F-86C1-7A4B2D3AAD1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69988" y="10540610"/>
              <a:ext cx="1828641" cy="2469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597872</xdr:colOff>
      <xdr:row>56</xdr:row>
      <xdr:rowOff>171007</xdr:rowOff>
    </xdr:from>
    <xdr:to>
      <xdr:col>8</xdr:col>
      <xdr:colOff>551354</xdr:colOff>
      <xdr:row>70</xdr:row>
      <xdr:rowOff>49613</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C345B7AA-AA5A-1A9B-CF2F-957469A324C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5485558" y="10534207"/>
              <a:ext cx="1836710" cy="2469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555610</xdr:colOff>
      <xdr:row>56</xdr:row>
      <xdr:rowOff>167035</xdr:rowOff>
    </xdr:from>
    <xdr:to>
      <xdr:col>10</xdr:col>
      <xdr:colOff>417495</xdr:colOff>
      <xdr:row>70</xdr:row>
      <xdr:rowOff>43211</xdr:rowOff>
    </xdr:to>
    <mc:AlternateContent xmlns:mc="http://schemas.openxmlformats.org/markup-compatibility/2006" xmlns:a14="http://schemas.microsoft.com/office/drawing/2010/main">
      <mc:Choice Requires="a14">
        <xdr:graphicFrame macro="">
          <xdr:nvGraphicFramePr>
            <xdr:cNvPr id="12" name="Store">
              <a:extLst>
                <a:ext uri="{FF2B5EF4-FFF2-40B4-BE49-F238E27FC236}">
                  <a16:creationId xmlns:a16="http://schemas.microsoft.com/office/drawing/2014/main" id="{337943F8-9822-72C8-AC9E-64F70A751B83}"/>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7326524" y="10530235"/>
              <a:ext cx="1821314" cy="2466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419046</xdr:colOff>
      <xdr:row>56</xdr:row>
      <xdr:rowOff>175573</xdr:rowOff>
    </xdr:from>
    <xdr:to>
      <xdr:col>12</xdr:col>
      <xdr:colOff>321010</xdr:colOff>
      <xdr:row>70</xdr:row>
      <xdr:rowOff>54179</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768A53E9-46DB-BFB5-1910-B69FC65C760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149389" y="10538773"/>
              <a:ext cx="1828735" cy="2469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20972</xdr:colOff>
      <xdr:row>3</xdr:row>
      <xdr:rowOff>19165</xdr:rowOff>
    </xdr:from>
    <xdr:to>
      <xdr:col>2</xdr:col>
      <xdr:colOff>516272</xdr:colOff>
      <xdr:row>7</xdr:row>
      <xdr:rowOff>80126</xdr:rowOff>
    </xdr:to>
    <xdr:sp macro="" textlink="">
      <xdr:nvSpPr>
        <xdr:cNvPr id="5" name="Rectangle: Rounded Corners 4">
          <a:extLst>
            <a:ext uri="{FF2B5EF4-FFF2-40B4-BE49-F238E27FC236}">
              <a16:creationId xmlns:a16="http://schemas.microsoft.com/office/drawing/2014/main" id="{B4C681EA-5549-DA36-FA0D-2F31E243B797}"/>
            </a:ext>
          </a:extLst>
        </xdr:cNvPr>
        <xdr:cNvSpPr/>
      </xdr:nvSpPr>
      <xdr:spPr>
        <a:xfrm>
          <a:off x="20972" y="564449"/>
          <a:ext cx="1711704" cy="794998"/>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2">
                  <a:lumMod val="25000"/>
                </a:schemeClr>
              </a:solidFill>
            </a:rPr>
            <a:t>TOTAL</a:t>
          </a:r>
          <a:r>
            <a:rPr lang="en-IN" sz="1100" b="1" baseline="0">
              <a:solidFill>
                <a:schemeClr val="bg2">
                  <a:lumMod val="25000"/>
                </a:schemeClr>
              </a:solidFill>
            </a:rPr>
            <a:t> SALES</a:t>
          </a:r>
          <a:endParaRPr lang="en-IN" sz="1100" b="1">
            <a:solidFill>
              <a:schemeClr val="bg2">
                <a:lumMod val="25000"/>
              </a:schemeClr>
            </a:solidFill>
          </a:endParaRPr>
        </a:p>
      </xdr:txBody>
    </xdr:sp>
    <xdr:clientData/>
  </xdr:twoCellAnchor>
  <xdr:twoCellAnchor>
    <xdr:from>
      <xdr:col>0</xdr:col>
      <xdr:colOff>125615</xdr:colOff>
      <xdr:row>4</xdr:row>
      <xdr:rowOff>118224</xdr:rowOff>
    </xdr:from>
    <xdr:to>
      <xdr:col>2</xdr:col>
      <xdr:colOff>384695</xdr:colOff>
      <xdr:row>6</xdr:row>
      <xdr:rowOff>163944</xdr:rowOff>
    </xdr:to>
    <xdr:sp macro="" textlink="Sheet!B58">
      <xdr:nvSpPr>
        <xdr:cNvPr id="6" name="TextBox 5">
          <a:extLst>
            <a:ext uri="{FF2B5EF4-FFF2-40B4-BE49-F238E27FC236}">
              <a16:creationId xmlns:a16="http://schemas.microsoft.com/office/drawing/2014/main" id="{E2BB0233-3C6D-0E05-B2EC-D2782913F8F9}"/>
            </a:ext>
          </a:extLst>
        </xdr:cNvPr>
        <xdr:cNvSpPr txBox="1"/>
      </xdr:nvSpPr>
      <xdr:spPr>
        <a:xfrm>
          <a:off x="125615" y="857133"/>
          <a:ext cx="1482898" cy="415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877F7A-F180-4AE6-8CC8-A8D2DED281B0}" type="TxLink">
            <a:rPr lang="en-US" sz="2000" b="1" i="0" u="none" strike="noStrike">
              <a:solidFill>
                <a:srgbClr val="000000"/>
              </a:solidFill>
              <a:latin typeface="Calibri"/>
              <a:ea typeface="Calibri"/>
              <a:cs typeface="Calibri"/>
            </a:rPr>
            <a:pPr/>
            <a:t> ₹ 18,087.84 </a:t>
          </a:fld>
          <a:endParaRPr lang="en-IN" sz="2000"/>
        </a:p>
      </xdr:txBody>
    </xdr:sp>
    <xdr:clientData/>
  </xdr:twoCellAnchor>
  <xdr:twoCellAnchor>
    <xdr:from>
      <xdr:col>3</xdr:col>
      <xdr:colOff>22860</xdr:colOff>
      <xdr:row>3</xdr:row>
      <xdr:rowOff>22860</xdr:rowOff>
    </xdr:from>
    <xdr:to>
      <xdr:col>5</xdr:col>
      <xdr:colOff>563880</xdr:colOff>
      <xdr:row>7</xdr:row>
      <xdr:rowOff>76200</xdr:rowOff>
    </xdr:to>
    <xdr:sp macro="" textlink="">
      <xdr:nvSpPr>
        <xdr:cNvPr id="7" name="Rectangle: Rounded Corners 6">
          <a:extLst>
            <a:ext uri="{FF2B5EF4-FFF2-40B4-BE49-F238E27FC236}">
              <a16:creationId xmlns:a16="http://schemas.microsoft.com/office/drawing/2014/main" id="{AFE3E713-96D2-877E-D1EA-0213E57AB6AD}"/>
            </a:ext>
          </a:extLst>
        </xdr:cNvPr>
        <xdr:cNvSpPr/>
      </xdr:nvSpPr>
      <xdr:spPr>
        <a:xfrm>
          <a:off x="1851660" y="579120"/>
          <a:ext cx="1760220" cy="79248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2">
                  <a:lumMod val="25000"/>
                </a:schemeClr>
              </a:solidFill>
            </a:rPr>
            <a:t>TOTAL ORDERS</a:t>
          </a:r>
        </a:p>
        <a:p>
          <a:pPr algn="l"/>
          <a:endParaRPr lang="en-IN" sz="1100"/>
        </a:p>
      </xdr:txBody>
    </xdr:sp>
    <xdr:clientData/>
  </xdr:twoCellAnchor>
  <xdr:twoCellAnchor>
    <xdr:from>
      <xdr:col>3</xdr:col>
      <xdr:colOff>213360</xdr:colOff>
      <xdr:row>4</xdr:row>
      <xdr:rowOff>152400</xdr:rowOff>
    </xdr:from>
    <xdr:to>
      <xdr:col>5</xdr:col>
      <xdr:colOff>419100</xdr:colOff>
      <xdr:row>6</xdr:row>
      <xdr:rowOff>121920</xdr:rowOff>
    </xdr:to>
    <xdr:sp macro="" textlink="Sheet!B59">
      <xdr:nvSpPr>
        <xdr:cNvPr id="8" name="TextBox 7">
          <a:extLst>
            <a:ext uri="{FF2B5EF4-FFF2-40B4-BE49-F238E27FC236}">
              <a16:creationId xmlns:a16="http://schemas.microsoft.com/office/drawing/2014/main" id="{DEE3A5A9-668B-FF89-C8A6-9E6CF988DFE2}"/>
            </a:ext>
          </a:extLst>
        </xdr:cNvPr>
        <xdr:cNvSpPr txBox="1"/>
      </xdr:nvSpPr>
      <xdr:spPr>
        <a:xfrm>
          <a:off x="2042160" y="891540"/>
          <a:ext cx="142494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2F2B14-7DA4-4B98-931C-7BDA23247FE8}" type="TxLink">
            <a:rPr lang="en-US" sz="2000" b="1" i="0" u="none" strike="noStrike">
              <a:solidFill>
                <a:srgbClr val="000000"/>
              </a:solidFill>
              <a:latin typeface="Calibri"/>
              <a:ea typeface="Calibri"/>
              <a:cs typeface="Calibri"/>
            </a:rPr>
            <a:pPr algn="ctr"/>
            <a:t>50</a:t>
          </a:fld>
          <a:endParaRPr lang="en-IN" sz="2000"/>
        </a:p>
      </xdr:txBody>
    </xdr:sp>
    <xdr:clientData/>
  </xdr:twoCellAnchor>
  <xdr:twoCellAnchor>
    <xdr:from>
      <xdr:col>6</xdr:col>
      <xdr:colOff>91440</xdr:colOff>
      <xdr:row>3</xdr:row>
      <xdr:rowOff>30480</xdr:rowOff>
    </xdr:from>
    <xdr:to>
      <xdr:col>8</xdr:col>
      <xdr:colOff>571500</xdr:colOff>
      <xdr:row>7</xdr:row>
      <xdr:rowOff>76200</xdr:rowOff>
    </xdr:to>
    <xdr:sp macro="" textlink="">
      <xdr:nvSpPr>
        <xdr:cNvPr id="9" name="Rectangle: Rounded Corners 8">
          <a:extLst>
            <a:ext uri="{FF2B5EF4-FFF2-40B4-BE49-F238E27FC236}">
              <a16:creationId xmlns:a16="http://schemas.microsoft.com/office/drawing/2014/main" id="{DFB15BD3-3EE9-6B3F-14B4-09C6B08A8DE6}"/>
            </a:ext>
          </a:extLst>
        </xdr:cNvPr>
        <xdr:cNvSpPr/>
      </xdr:nvSpPr>
      <xdr:spPr>
        <a:xfrm>
          <a:off x="3749040" y="586740"/>
          <a:ext cx="1699260" cy="78486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2">
                  <a:lumMod val="25000"/>
                </a:schemeClr>
              </a:solidFill>
            </a:rPr>
            <a:t>AVERAGE ORDER VALUE</a:t>
          </a:r>
        </a:p>
      </xdr:txBody>
    </xdr:sp>
    <xdr:clientData/>
  </xdr:twoCellAnchor>
  <xdr:twoCellAnchor>
    <xdr:from>
      <xdr:col>6</xdr:col>
      <xdr:colOff>274320</xdr:colOff>
      <xdr:row>4</xdr:row>
      <xdr:rowOff>152400</xdr:rowOff>
    </xdr:from>
    <xdr:to>
      <xdr:col>8</xdr:col>
      <xdr:colOff>457200</xdr:colOff>
      <xdr:row>6</xdr:row>
      <xdr:rowOff>144780</xdr:rowOff>
    </xdr:to>
    <xdr:sp macro="" textlink="Sheet!B60">
      <xdr:nvSpPr>
        <xdr:cNvPr id="10" name="TextBox 9">
          <a:extLst>
            <a:ext uri="{FF2B5EF4-FFF2-40B4-BE49-F238E27FC236}">
              <a16:creationId xmlns:a16="http://schemas.microsoft.com/office/drawing/2014/main" id="{9A9D5A11-3B75-1B4E-2F08-CE5CB684B3DF}"/>
            </a:ext>
          </a:extLst>
        </xdr:cNvPr>
        <xdr:cNvSpPr txBox="1"/>
      </xdr:nvSpPr>
      <xdr:spPr>
        <a:xfrm>
          <a:off x="3931920" y="891540"/>
          <a:ext cx="140208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FE660A-7318-422F-842D-97126E6717DF}" type="TxLink">
            <a:rPr lang="en-US" sz="2000" b="1" i="0" u="none" strike="noStrike">
              <a:solidFill>
                <a:srgbClr val="000000"/>
              </a:solidFill>
              <a:latin typeface="Calibri"/>
              <a:ea typeface="Calibri"/>
              <a:cs typeface="Calibri"/>
            </a:rPr>
            <a:pPr algn="ctr"/>
            <a:t> ₹ 361.76 </a:t>
          </a:fld>
          <a:endParaRPr lang="en-IN" sz="2000"/>
        </a:p>
      </xdr:txBody>
    </xdr:sp>
    <xdr:clientData/>
  </xdr:twoCellAnchor>
  <xdr:twoCellAnchor>
    <xdr:from>
      <xdr:col>9</xdr:col>
      <xdr:colOff>83820</xdr:colOff>
      <xdr:row>3</xdr:row>
      <xdr:rowOff>45720</xdr:rowOff>
    </xdr:from>
    <xdr:to>
      <xdr:col>11</xdr:col>
      <xdr:colOff>533400</xdr:colOff>
      <xdr:row>7</xdr:row>
      <xdr:rowOff>83820</xdr:rowOff>
    </xdr:to>
    <xdr:sp macro="" textlink="">
      <xdr:nvSpPr>
        <xdr:cNvPr id="11" name="Rectangle: Rounded Corners 10">
          <a:extLst>
            <a:ext uri="{FF2B5EF4-FFF2-40B4-BE49-F238E27FC236}">
              <a16:creationId xmlns:a16="http://schemas.microsoft.com/office/drawing/2014/main" id="{1F972CF1-DCC0-E489-A6B2-EDB8D9CFF0F8}"/>
            </a:ext>
          </a:extLst>
        </xdr:cNvPr>
        <xdr:cNvSpPr/>
      </xdr:nvSpPr>
      <xdr:spPr>
        <a:xfrm>
          <a:off x="5570220" y="601980"/>
          <a:ext cx="1668780" cy="77724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2">
                  <a:lumMod val="25000"/>
                </a:schemeClr>
              </a:solidFill>
            </a:rPr>
            <a:t>TOTAL PROFIT</a:t>
          </a:r>
        </a:p>
      </xdr:txBody>
    </xdr:sp>
    <xdr:clientData/>
  </xdr:twoCellAnchor>
  <xdr:twoCellAnchor>
    <xdr:from>
      <xdr:col>9</xdr:col>
      <xdr:colOff>236220</xdr:colOff>
      <xdr:row>4</xdr:row>
      <xdr:rowOff>144780</xdr:rowOff>
    </xdr:from>
    <xdr:to>
      <xdr:col>11</xdr:col>
      <xdr:colOff>403860</xdr:colOff>
      <xdr:row>6</xdr:row>
      <xdr:rowOff>129540</xdr:rowOff>
    </xdr:to>
    <xdr:sp macro="" textlink="Sheet!B61">
      <xdr:nvSpPr>
        <xdr:cNvPr id="12" name="TextBox 11">
          <a:extLst>
            <a:ext uri="{FF2B5EF4-FFF2-40B4-BE49-F238E27FC236}">
              <a16:creationId xmlns:a16="http://schemas.microsoft.com/office/drawing/2014/main" id="{1CDB8B3B-5AF5-1614-6397-46F187EF61F2}"/>
            </a:ext>
          </a:extLst>
        </xdr:cNvPr>
        <xdr:cNvSpPr txBox="1"/>
      </xdr:nvSpPr>
      <xdr:spPr>
        <a:xfrm>
          <a:off x="5722620" y="883920"/>
          <a:ext cx="138684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629B16-09AF-4512-9BC1-9343088BA2BC}" type="TxLink">
            <a:rPr lang="en-US" sz="2000" b="1" i="0" u="none" strike="noStrike">
              <a:solidFill>
                <a:srgbClr val="000000"/>
              </a:solidFill>
              <a:latin typeface="Calibri"/>
              <a:ea typeface="Calibri"/>
              <a:cs typeface="Calibri"/>
            </a:rPr>
            <a:pPr algn="ctr"/>
            <a:t> ₹ 6,727.84 </a:t>
          </a:fld>
          <a:endParaRPr lang="en-IN" sz="2000"/>
        </a:p>
      </xdr:txBody>
    </xdr:sp>
    <xdr:clientData/>
  </xdr:twoCellAnchor>
  <xdr:twoCellAnchor>
    <xdr:from>
      <xdr:col>0</xdr:col>
      <xdr:colOff>18218</xdr:colOff>
      <xdr:row>8</xdr:row>
      <xdr:rowOff>81659</xdr:rowOff>
    </xdr:from>
    <xdr:to>
      <xdr:col>7</xdr:col>
      <xdr:colOff>132518</xdr:colOff>
      <xdr:row>24</xdr:row>
      <xdr:rowOff>62938</xdr:rowOff>
    </xdr:to>
    <xdr:sp macro="" textlink="">
      <xdr:nvSpPr>
        <xdr:cNvPr id="14" name="Rectangle: Rounded Corners 13">
          <a:extLst>
            <a:ext uri="{FF2B5EF4-FFF2-40B4-BE49-F238E27FC236}">
              <a16:creationId xmlns:a16="http://schemas.microsoft.com/office/drawing/2014/main" id="{99E4AC55-ECB9-7294-1813-AA29F67044C7}"/>
            </a:ext>
          </a:extLst>
        </xdr:cNvPr>
        <xdr:cNvSpPr/>
      </xdr:nvSpPr>
      <xdr:spPr>
        <a:xfrm>
          <a:off x="18218" y="1542742"/>
          <a:ext cx="4371713" cy="2889462"/>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25000"/>
                </a:schemeClr>
              </a:solidFill>
            </a:rPr>
            <a:t>MOTHLY SALES TREND</a:t>
          </a:r>
        </a:p>
      </xdr:txBody>
    </xdr:sp>
    <xdr:clientData/>
  </xdr:twoCellAnchor>
  <xdr:twoCellAnchor>
    <xdr:from>
      <xdr:col>12</xdr:col>
      <xdr:colOff>68580</xdr:colOff>
      <xdr:row>3</xdr:row>
      <xdr:rowOff>91440</xdr:rowOff>
    </xdr:from>
    <xdr:to>
      <xdr:col>14</xdr:col>
      <xdr:colOff>548640</xdr:colOff>
      <xdr:row>7</xdr:row>
      <xdr:rowOff>76200</xdr:rowOff>
    </xdr:to>
    <xdr:sp macro="" textlink="">
      <xdr:nvSpPr>
        <xdr:cNvPr id="15" name="Rectangle: Rounded Corners 14">
          <a:extLst>
            <a:ext uri="{FF2B5EF4-FFF2-40B4-BE49-F238E27FC236}">
              <a16:creationId xmlns:a16="http://schemas.microsoft.com/office/drawing/2014/main" id="{88B843AB-1FBE-293B-1763-263552F217E0}"/>
            </a:ext>
          </a:extLst>
        </xdr:cNvPr>
        <xdr:cNvSpPr/>
      </xdr:nvSpPr>
      <xdr:spPr>
        <a:xfrm>
          <a:off x="7383780" y="647700"/>
          <a:ext cx="1699260" cy="7239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2">
                  <a:lumMod val="25000"/>
                </a:schemeClr>
              </a:solidFill>
            </a:rPr>
            <a:t>TOP</a:t>
          </a:r>
          <a:r>
            <a:rPr lang="en-IN" sz="1100" b="1" baseline="0">
              <a:solidFill>
                <a:schemeClr val="bg2">
                  <a:lumMod val="25000"/>
                </a:schemeClr>
              </a:solidFill>
            </a:rPr>
            <a:t> STORE</a:t>
          </a:r>
          <a:endParaRPr lang="en-IN" sz="1100" b="1">
            <a:solidFill>
              <a:schemeClr val="bg2">
                <a:lumMod val="25000"/>
              </a:schemeClr>
            </a:solidFill>
          </a:endParaRPr>
        </a:p>
      </xdr:txBody>
    </xdr:sp>
    <xdr:clientData/>
  </xdr:twoCellAnchor>
  <xdr:twoCellAnchor>
    <xdr:from>
      <xdr:col>12</xdr:col>
      <xdr:colOff>205740</xdr:colOff>
      <xdr:row>5</xdr:row>
      <xdr:rowOff>0</xdr:rowOff>
    </xdr:from>
    <xdr:to>
      <xdr:col>14</xdr:col>
      <xdr:colOff>358140</xdr:colOff>
      <xdr:row>7</xdr:row>
      <xdr:rowOff>15240</xdr:rowOff>
    </xdr:to>
    <xdr:sp macro="" textlink="Sheet!M2">
      <xdr:nvSpPr>
        <xdr:cNvPr id="16" name="TextBox 15">
          <a:extLst>
            <a:ext uri="{FF2B5EF4-FFF2-40B4-BE49-F238E27FC236}">
              <a16:creationId xmlns:a16="http://schemas.microsoft.com/office/drawing/2014/main" id="{DCF97E78-EFA2-75BE-1D7F-41F01C030959}"/>
            </a:ext>
          </a:extLst>
        </xdr:cNvPr>
        <xdr:cNvSpPr txBox="1"/>
      </xdr:nvSpPr>
      <xdr:spPr>
        <a:xfrm>
          <a:off x="7520940" y="922020"/>
          <a:ext cx="137160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CB2DD7-47D6-4E4D-9EE8-3371BAF61B6A}" type="TxLink">
            <a:rPr lang="en-US" sz="2000" b="1" i="0" u="none" strike="noStrike">
              <a:solidFill>
                <a:srgbClr val="000000"/>
              </a:solidFill>
              <a:latin typeface="Calibri"/>
              <a:ea typeface="Calibri"/>
              <a:cs typeface="Calibri"/>
            </a:rPr>
            <a:pPr/>
            <a:t>Downtown</a:t>
          </a:fld>
          <a:endParaRPr lang="en-IN" sz="2000" b="1"/>
        </a:p>
      </xdr:txBody>
    </xdr:sp>
    <xdr:clientData/>
  </xdr:twoCellAnchor>
  <xdr:twoCellAnchor>
    <xdr:from>
      <xdr:col>0</xdr:col>
      <xdr:colOff>449580</xdr:colOff>
      <xdr:row>11</xdr:row>
      <xdr:rowOff>135809</xdr:rowOff>
    </xdr:from>
    <xdr:to>
      <xdr:col>6</xdr:col>
      <xdr:colOff>312420</xdr:colOff>
      <xdr:row>23</xdr:row>
      <xdr:rowOff>55576</xdr:rowOff>
    </xdr:to>
    <xdr:graphicFrame macro="">
      <xdr:nvGraphicFramePr>
        <xdr:cNvPr id="19" name="Chart 18">
          <a:extLst>
            <a:ext uri="{FF2B5EF4-FFF2-40B4-BE49-F238E27FC236}">
              <a16:creationId xmlns:a16="http://schemas.microsoft.com/office/drawing/2014/main" id="{DE0D7E18-4251-48D8-8B6B-0A58E344F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454213</xdr:colOff>
      <xdr:row>8</xdr:row>
      <xdr:rowOff>115544</xdr:rowOff>
    </xdr:from>
    <xdr:to>
      <xdr:col>14</xdr:col>
      <xdr:colOff>566631</xdr:colOff>
      <xdr:row>24</xdr:row>
      <xdr:rowOff>96823</xdr:rowOff>
    </xdr:to>
    <xdr:sp macro="" textlink="">
      <xdr:nvSpPr>
        <xdr:cNvPr id="21" name="Rectangle: Rounded Corners 20">
          <a:extLst>
            <a:ext uri="{FF2B5EF4-FFF2-40B4-BE49-F238E27FC236}">
              <a16:creationId xmlns:a16="http://schemas.microsoft.com/office/drawing/2014/main" id="{41F5191C-EF26-45F6-BD24-A90D7487D5D0}"/>
            </a:ext>
          </a:extLst>
        </xdr:cNvPr>
        <xdr:cNvSpPr/>
      </xdr:nvSpPr>
      <xdr:spPr>
        <a:xfrm>
          <a:off x="4721413" y="1567826"/>
          <a:ext cx="4379618" cy="2849985"/>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25000"/>
                </a:schemeClr>
              </a:solidFill>
            </a:rPr>
            <a:t>SALES BY CATEGORY</a:t>
          </a:r>
        </a:p>
      </xdr:txBody>
    </xdr:sp>
    <xdr:clientData/>
  </xdr:twoCellAnchor>
  <xdr:twoCellAnchor>
    <xdr:from>
      <xdr:col>8</xdr:col>
      <xdr:colOff>78492</xdr:colOff>
      <xdr:row>11</xdr:row>
      <xdr:rowOff>160191</xdr:rowOff>
    </xdr:from>
    <xdr:to>
      <xdr:col>14</xdr:col>
      <xdr:colOff>309070</xdr:colOff>
      <xdr:row>22</xdr:row>
      <xdr:rowOff>113177</xdr:rowOff>
    </xdr:to>
    <xdr:graphicFrame macro="">
      <xdr:nvGraphicFramePr>
        <xdr:cNvPr id="23" name="Chart 22">
          <a:extLst>
            <a:ext uri="{FF2B5EF4-FFF2-40B4-BE49-F238E27FC236}">
              <a16:creationId xmlns:a16="http://schemas.microsoft.com/office/drawing/2014/main" id="{0B620760-DF37-4ED8-86A8-BADBE3FAE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20973</xdr:colOff>
      <xdr:row>25</xdr:row>
      <xdr:rowOff>130616</xdr:rowOff>
    </xdr:from>
    <xdr:to>
      <xdr:col>7</xdr:col>
      <xdr:colOff>135273</xdr:colOff>
      <xdr:row>41</xdr:row>
      <xdr:rowOff>111895</xdr:rowOff>
    </xdr:to>
    <xdr:sp macro="" textlink="">
      <xdr:nvSpPr>
        <xdr:cNvPr id="24" name="Rectangle: Rounded Corners 23">
          <a:extLst>
            <a:ext uri="{FF2B5EF4-FFF2-40B4-BE49-F238E27FC236}">
              <a16:creationId xmlns:a16="http://schemas.microsoft.com/office/drawing/2014/main" id="{E40C87EC-31FA-4D62-89C1-05E6B9E2F8C2}"/>
            </a:ext>
          </a:extLst>
        </xdr:cNvPr>
        <xdr:cNvSpPr/>
      </xdr:nvSpPr>
      <xdr:spPr>
        <a:xfrm>
          <a:off x="20973" y="4681644"/>
          <a:ext cx="4371713" cy="2889462"/>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25000"/>
                </a:schemeClr>
              </a:solidFill>
            </a:rPr>
            <a:t>SALES BY PAYMENT METHOD</a:t>
          </a:r>
        </a:p>
      </xdr:txBody>
    </xdr:sp>
    <xdr:clientData/>
  </xdr:twoCellAnchor>
  <xdr:twoCellAnchor>
    <xdr:from>
      <xdr:col>0</xdr:col>
      <xdr:colOff>328262</xdr:colOff>
      <xdr:row>28</xdr:row>
      <xdr:rowOff>163577</xdr:rowOff>
    </xdr:from>
    <xdr:to>
      <xdr:col>6</xdr:col>
      <xdr:colOff>253004</xdr:colOff>
      <xdr:row>40</xdr:row>
      <xdr:rowOff>21912</xdr:rowOff>
    </xdr:to>
    <xdr:graphicFrame macro="">
      <xdr:nvGraphicFramePr>
        <xdr:cNvPr id="26" name="Chart 25">
          <a:extLst>
            <a:ext uri="{FF2B5EF4-FFF2-40B4-BE49-F238E27FC236}">
              <a16:creationId xmlns:a16="http://schemas.microsoft.com/office/drawing/2014/main" id="{B9986571-EDCF-4840-9E37-E84BBC66B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462291</xdr:colOff>
      <xdr:row>25</xdr:row>
      <xdr:rowOff>134473</xdr:rowOff>
    </xdr:from>
    <xdr:to>
      <xdr:col>14</xdr:col>
      <xdr:colOff>576590</xdr:colOff>
      <xdr:row>41</xdr:row>
      <xdr:rowOff>115198</xdr:rowOff>
    </xdr:to>
    <xdr:sp macro="" textlink="">
      <xdr:nvSpPr>
        <xdr:cNvPr id="28" name="Rectangle: Rounded Corners 27">
          <a:extLst>
            <a:ext uri="{FF2B5EF4-FFF2-40B4-BE49-F238E27FC236}">
              <a16:creationId xmlns:a16="http://schemas.microsoft.com/office/drawing/2014/main" id="{F43C2095-5B32-4D4B-AB75-F5CA4E46DBDB}"/>
            </a:ext>
          </a:extLst>
        </xdr:cNvPr>
        <xdr:cNvSpPr/>
      </xdr:nvSpPr>
      <xdr:spPr>
        <a:xfrm>
          <a:off x="4729491" y="4634755"/>
          <a:ext cx="4381499" cy="2849431"/>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25000"/>
                </a:schemeClr>
              </a:solidFill>
            </a:rPr>
            <a:t>PROFIT BY STORE</a:t>
          </a:r>
        </a:p>
      </xdr:txBody>
    </xdr:sp>
    <xdr:clientData/>
  </xdr:twoCellAnchor>
  <xdr:twoCellAnchor>
    <xdr:from>
      <xdr:col>8</xdr:col>
      <xdr:colOff>348958</xdr:colOff>
      <xdr:row>29</xdr:row>
      <xdr:rowOff>9407</xdr:rowOff>
    </xdr:from>
    <xdr:to>
      <xdr:col>14</xdr:col>
      <xdr:colOff>57329</xdr:colOff>
      <xdr:row>40</xdr:row>
      <xdr:rowOff>94073</xdr:rowOff>
    </xdr:to>
    <xdr:graphicFrame macro="">
      <xdr:nvGraphicFramePr>
        <xdr:cNvPr id="30" name="Chart 29">
          <a:extLst>
            <a:ext uri="{FF2B5EF4-FFF2-40B4-BE49-F238E27FC236}">
              <a16:creationId xmlns:a16="http://schemas.microsoft.com/office/drawing/2014/main" id="{D737CBCE-51AC-4089-A923-7788B20EA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20973</xdr:colOff>
      <xdr:row>42</xdr:row>
      <xdr:rowOff>163340</xdr:rowOff>
    </xdr:from>
    <xdr:to>
      <xdr:col>7</xdr:col>
      <xdr:colOff>135273</xdr:colOff>
      <xdr:row>58</xdr:row>
      <xdr:rowOff>144619</xdr:rowOff>
    </xdr:to>
    <xdr:sp macro="" textlink="">
      <xdr:nvSpPr>
        <xdr:cNvPr id="32" name="Rectangle: Rounded Corners 31">
          <a:extLst>
            <a:ext uri="{FF2B5EF4-FFF2-40B4-BE49-F238E27FC236}">
              <a16:creationId xmlns:a16="http://schemas.microsoft.com/office/drawing/2014/main" id="{9659F60D-A9E6-4C73-B046-C389B8792F32}"/>
            </a:ext>
          </a:extLst>
        </xdr:cNvPr>
        <xdr:cNvSpPr/>
      </xdr:nvSpPr>
      <xdr:spPr>
        <a:xfrm>
          <a:off x="20973" y="7804312"/>
          <a:ext cx="4371713" cy="2889463"/>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25000"/>
                </a:schemeClr>
              </a:solidFill>
            </a:rPr>
            <a:t>BEST SELLING BASED ON REVENUE</a:t>
          </a:r>
        </a:p>
      </xdr:txBody>
    </xdr:sp>
    <xdr:clientData/>
  </xdr:twoCellAnchor>
  <xdr:twoCellAnchor>
    <xdr:from>
      <xdr:col>0</xdr:col>
      <xdr:colOff>322729</xdr:colOff>
      <xdr:row>46</xdr:row>
      <xdr:rowOff>17930</xdr:rowOff>
    </xdr:from>
    <xdr:to>
      <xdr:col>6</xdr:col>
      <xdr:colOff>268941</xdr:colOff>
      <xdr:row>57</xdr:row>
      <xdr:rowOff>89647</xdr:rowOff>
    </xdr:to>
    <xdr:graphicFrame macro="">
      <xdr:nvGraphicFramePr>
        <xdr:cNvPr id="33" name="Chart 32">
          <a:extLst>
            <a:ext uri="{FF2B5EF4-FFF2-40B4-BE49-F238E27FC236}">
              <a16:creationId xmlns:a16="http://schemas.microsoft.com/office/drawing/2014/main" id="{A1D7EB12-7839-4733-AE3F-02536210F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453081</xdr:colOff>
      <xdr:row>43</xdr:row>
      <xdr:rowOff>0</xdr:rowOff>
    </xdr:from>
    <xdr:to>
      <xdr:col>14</xdr:col>
      <xdr:colOff>567381</xdr:colOff>
      <xdr:row>58</xdr:row>
      <xdr:rowOff>160573</xdr:rowOff>
    </xdr:to>
    <xdr:sp macro="" textlink="">
      <xdr:nvSpPr>
        <xdr:cNvPr id="35" name="Rectangle: Rounded Corners 34">
          <a:extLst>
            <a:ext uri="{FF2B5EF4-FFF2-40B4-BE49-F238E27FC236}">
              <a16:creationId xmlns:a16="http://schemas.microsoft.com/office/drawing/2014/main" id="{F4B07952-47BA-43D7-903C-0040103DC0E9}"/>
            </a:ext>
          </a:extLst>
        </xdr:cNvPr>
        <xdr:cNvSpPr/>
      </xdr:nvSpPr>
      <xdr:spPr>
        <a:xfrm>
          <a:off x="4777946" y="7970108"/>
          <a:ext cx="4439165" cy="2940843"/>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25000"/>
                </a:schemeClr>
              </a:solidFill>
            </a:rPr>
            <a:t>TOP 5 PRODUCTS</a:t>
          </a:r>
        </a:p>
      </xdr:txBody>
    </xdr:sp>
    <xdr:clientData/>
  </xdr:twoCellAnchor>
  <xdr:twoCellAnchor>
    <xdr:from>
      <xdr:col>8</xdr:col>
      <xdr:colOff>376518</xdr:colOff>
      <xdr:row>46</xdr:row>
      <xdr:rowOff>17927</xdr:rowOff>
    </xdr:from>
    <xdr:to>
      <xdr:col>14</xdr:col>
      <xdr:colOff>349623</xdr:colOff>
      <xdr:row>57</xdr:row>
      <xdr:rowOff>98611</xdr:rowOff>
    </xdr:to>
    <xdr:graphicFrame macro="">
      <xdr:nvGraphicFramePr>
        <xdr:cNvPr id="37" name="Chart 36">
          <a:extLst>
            <a:ext uri="{FF2B5EF4-FFF2-40B4-BE49-F238E27FC236}">
              <a16:creationId xmlns:a16="http://schemas.microsoft.com/office/drawing/2014/main" id="{50CCA19A-4CA7-438C-ACC3-FB3D4C84C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512486</xdr:colOff>
      <xdr:row>60</xdr:row>
      <xdr:rowOff>53339</xdr:rowOff>
    </xdr:from>
    <xdr:to>
      <xdr:col>7</xdr:col>
      <xdr:colOff>276266</xdr:colOff>
      <xdr:row>74</xdr:row>
      <xdr:rowOff>32424</xdr:rowOff>
    </xdr:to>
    <xdr:sp macro="" textlink="">
      <xdr:nvSpPr>
        <xdr:cNvPr id="41" name="Rectangle: Rounded Corners 40">
          <a:extLst>
            <a:ext uri="{FF2B5EF4-FFF2-40B4-BE49-F238E27FC236}">
              <a16:creationId xmlns:a16="http://schemas.microsoft.com/office/drawing/2014/main" id="{B030002F-C7B4-49C9-9635-DE3BD0F7F09A}"/>
            </a:ext>
          </a:extLst>
        </xdr:cNvPr>
        <xdr:cNvSpPr/>
      </xdr:nvSpPr>
      <xdr:spPr>
        <a:xfrm>
          <a:off x="2336422" y="11256360"/>
          <a:ext cx="2195695" cy="2589341"/>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25000"/>
                </a:schemeClr>
              </a:solidFill>
            </a:rPr>
            <a:t>PAYMENT</a:t>
          </a:r>
          <a:r>
            <a:rPr lang="en-IN" sz="2000" b="1" baseline="0">
              <a:solidFill>
                <a:schemeClr val="bg2">
                  <a:lumMod val="25000"/>
                </a:schemeClr>
              </a:solidFill>
            </a:rPr>
            <a:t> METHOD</a:t>
          </a:r>
          <a:endParaRPr lang="en-IN" sz="2000" b="1">
            <a:solidFill>
              <a:schemeClr val="bg2">
                <a:lumMod val="25000"/>
              </a:schemeClr>
            </a:solidFill>
          </a:endParaRPr>
        </a:p>
      </xdr:txBody>
    </xdr:sp>
    <xdr:clientData/>
  </xdr:twoCellAnchor>
  <xdr:twoCellAnchor>
    <xdr:from>
      <xdr:col>7</xdr:col>
      <xdr:colOff>457200</xdr:colOff>
      <xdr:row>60</xdr:row>
      <xdr:rowOff>53339</xdr:rowOff>
    </xdr:from>
    <xdr:to>
      <xdr:col>11</xdr:col>
      <xdr:colOff>83820</xdr:colOff>
      <xdr:row>73</xdr:row>
      <xdr:rowOff>170233</xdr:rowOff>
    </xdr:to>
    <xdr:sp macro="" textlink="">
      <xdr:nvSpPr>
        <xdr:cNvPr id="43" name="Rectangle: Rounded Corners 42">
          <a:extLst>
            <a:ext uri="{FF2B5EF4-FFF2-40B4-BE49-F238E27FC236}">
              <a16:creationId xmlns:a16="http://schemas.microsoft.com/office/drawing/2014/main" id="{06D481B3-080E-4ADF-814A-E53898877CA1}"/>
            </a:ext>
          </a:extLst>
        </xdr:cNvPr>
        <xdr:cNvSpPr/>
      </xdr:nvSpPr>
      <xdr:spPr>
        <a:xfrm>
          <a:off x="4713051" y="11256360"/>
          <a:ext cx="2058535" cy="2540703"/>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25000"/>
                </a:schemeClr>
              </a:solidFill>
            </a:rPr>
            <a:t>STORE</a:t>
          </a:r>
        </a:p>
      </xdr:txBody>
    </xdr:sp>
    <xdr:clientData/>
  </xdr:twoCellAnchor>
  <xdr:twoCellAnchor>
    <xdr:from>
      <xdr:col>11</xdr:col>
      <xdr:colOff>243016</xdr:colOff>
      <xdr:row>60</xdr:row>
      <xdr:rowOff>73935</xdr:rowOff>
    </xdr:from>
    <xdr:to>
      <xdr:col>14</xdr:col>
      <xdr:colOff>563674</xdr:colOff>
      <xdr:row>73</xdr:row>
      <xdr:rowOff>166510</xdr:rowOff>
    </xdr:to>
    <xdr:sp macro="" textlink="">
      <xdr:nvSpPr>
        <xdr:cNvPr id="45" name="Rectangle: Rounded Corners 44">
          <a:extLst>
            <a:ext uri="{FF2B5EF4-FFF2-40B4-BE49-F238E27FC236}">
              <a16:creationId xmlns:a16="http://schemas.microsoft.com/office/drawing/2014/main" id="{D0DCBF98-524E-4BAF-B52E-06FA0A01238C}"/>
            </a:ext>
          </a:extLst>
        </xdr:cNvPr>
        <xdr:cNvSpPr/>
      </xdr:nvSpPr>
      <xdr:spPr>
        <a:xfrm>
          <a:off x="7039232" y="11195016"/>
          <a:ext cx="2174172" cy="2502143"/>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25000"/>
                </a:schemeClr>
              </a:solidFill>
            </a:rPr>
            <a:t>SALESPERSON</a:t>
          </a:r>
        </a:p>
      </xdr:txBody>
    </xdr:sp>
    <xdr:clientData/>
  </xdr:twoCellAnchor>
  <xdr:twoCellAnchor editAs="oneCell">
    <xdr:from>
      <xdr:col>4</xdr:col>
      <xdr:colOff>59988</xdr:colOff>
      <xdr:row>64</xdr:row>
      <xdr:rowOff>122406</xdr:rowOff>
    </xdr:from>
    <xdr:to>
      <xdr:col>7</xdr:col>
      <xdr:colOff>65556</xdr:colOff>
      <xdr:row>72</xdr:row>
      <xdr:rowOff>24320</xdr:rowOff>
    </xdr:to>
    <mc:AlternateContent xmlns:mc="http://schemas.openxmlformats.org/markup-compatibility/2006" xmlns:a14="http://schemas.microsoft.com/office/drawing/2010/main">
      <mc:Choice Requires="a14">
        <xdr:graphicFrame macro="">
          <xdr:nvGraphicFramePr>
            <xdr:cNvPr id="49" name="Payment Method 1">
              <a:extLst>
                <a:ext uri="{FF2B5EF4-FFF2-40B4-BE49-F238E27FC236}">
                  <a16:creationId xmlns:a16="http://schemas.microsoft.com/office/drawing/2014/main" id="{A910D202-41C6-46EE-AB28-9925684B9A0C}"/>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2531339" y="11984892"/>
              <a:ext cx="1859082" cy="1384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585617</xdr:colOff>
      <xdr:row>64</xdr:row>
      <xdr:rowOff>5699</xdr:rowOff>
    </xdr:from>
    <xdr:to>
      <xdr:col>10</xdr:col>
      <xdr:colOff>576753</xdr:colOff>
      <xdr:row>71</xdr:row>
      <xdr:rowOff>167567</xdr:rowOff>
    </xdr:to>
    <mc:AlternateContent xmlns:mc="http://schemas.openxmlformats.org/markup-compatibility/2006" xmlns:a14="http://schemas.microsoft.com/office/drawing/2010/main">
      <mc:Choice Requires="a14">
        <xdr:graphicFrame macro="">
          <xdr:nvGraphicFramePr>
            <xdr:cNvPr id="51" name="Store 1">
              <a:extLst>
                <a:ext uri="{FF2B5EF4-FFF2-40B4-BE49-F238E27FC236}">
                  <a16:creationId xmlns:a16="http://schemas.microsoft.com/office/drawing/2014/main" id="{381AE0A8-5EC5-4C22-9C3A-CF7E41087D10}"/>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mlns="">
        <xdr:sp macro="" textlink="">
          <xdr:nvSpPr>
            <xdr:cNvPr id="0" name=""/>
            <xdr:cNvSpPr>
              <a:spLocks noTextEdit="1"/>
            </xdr:cNvSpPr>
          </xdr:nvSpPr>
          <xdr:spPr>
            <a:xfrm>
              <a:off x="4910482" y="11868185"/>
              <a:ext cx="1844649" cy="1459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497394</xdr:colOff>
      <xdr:row>64</xdr:row>
      <xdr:rowOff>60646</xdr:rowOff>
    </xdr:from>
    <xdr:to>
      <xdr:col>14</xdr:col>
      <xdr:colOff>499671</xdr:colOff>
      <xdr:row>72</xdr:row>
      <xdr:rowOff>53027</xdr:rowOff>
    </xdr:to>
    <mc:AlternateContent xmlns:mc="http://schemas.openxmlformats.org/markup-compatibility/2006" xmlns:a14="http://schemas.microsoft.com/office/drawing/2010/main">
      <mc:Choice Requires="a14">
        <xdr:graphicFrame macro="">
          <xdr:nvGraphicFramePr>
            <xdr:cNvPr id="53" name="Salesperson 1">
              <a:extLst>
                <a:ext uri="{FF2B5EF4-FFF2-40B4-BE49-F238E27FC236}">
                  <a16:creationId xmlns:a16="http://schemas.microsoft.com/office/drawing/2014/main" id="{CA58546C-5E5B-492D-861D-7AE3E4C5D792}"/>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7293610" y="11923132"/>
              <a:ext cx="1855791" cy="1475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20972</xdr:colOff>
      <xdr:row>60</xdr:row>
      <xdr:rowOff>72959</xdr:rowOff>
    </xdr:from>
    <xdr:to>
      <xdr:col>3</xdr:col>
      <xdr:colOff>369547</xdr:colOff>
      <xdr:row>74</xdr:row>
      <xdr:rowOff>52044</xdr:rowOff>
    </xdr:to>
    <xdr:sp macro="" textlink="">
      <xdr:nvSpPr>
        <xdr:cNvPr id="57" name="Rectangle: Rounded Corners 56">
          <a:extLst>
            <a:ext uri="{FF2B5EF4-FFF2-40B4-BE49-F238E27FC236}">
              <a16:creationId xmlns:a16="http://schemas.microsoft.com/office/drawing/2014/main" id="{3CF77942-EB93-4418-9AA8-9F617E9ED4DC}"/>
            </a:ext>
          </a:extLst>
        </xdr:cNvPr>
        <xdr:cNvSpPr/>
      </xdr:nvSpPr>
      <xdr:spPr>
        <a:xfrm>
          <a:off x="20972" y="10985638"/>
          <a:ext cx="2173181" cy="2523745"/>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2">
                  <a:lumMod val="25000"/>
                </a:schemeClr>
              </a:solidFill>
            </a:rPr>
            <a:t>CATEGORY</a:t>
          </a:r>
        </a:p>
      </xdr:txBody>
    </xdr:sp>
    <xdr:clientData/>
  </xdr:twoCellAnchor>
  <xdr:twoCellAnchor editAs="oneCell">
    <xdr:from>
      <xdr:col>0</xdr:col>
      <xdr:colOff>145872</xdr:colOff>
      <xdr:row>64</xdr:row>
      <xdr:rowOff>15738</xdr:rowOff>
    </xdr:from>
    <xdr:to>
      <xdr:col>3</xdr:col>
      <xdr:colOff>243578</xdr:colOff>
      <xdr:row>72</xdr:row>
      <xdr:rowOff>47756</xdr:rowOff>
    </xdr:to>
    <mc:AlternateContent xmlns:mc="http://schemas.openxmlformats.org/markup-compatibility/2006" xmlns:a14="http://schemas.microsoft.com/office/drawing/2010/main">
      <mc:Choice Requires="a14">
        <xdr:graphicFrame macro="">
          <xdr:nvGraphicFramePr>
            <xdr:cNvPr id="59" name="Category 1">
              <a:extLst>
                <a:ext uri="{FF2B5EF4-FFF2-40B4-BE49-F238E27FC236}">
                  <a16:creationId xmlns:a16="http://schemas.microsoft.com/office/drawing/2014/main" id="{F776A44E-2C5A-4860-8BFA-B985CFCF36C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5872" y="11878224"/>
              <a:ext cx="1951220" cy="1514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20971</xdr:colOff>
      <xdr:row>76</xdr:row>
      <xdr:rowOff>0</xdr:rowOff>
    </xdr:from>
    <xdr:to>
      <xdr:col>14</xdr:col>
      <xdr:colOff>535458</xdr:colOff>
      <xdr:row>88</xdr:row>
      <xdr:rowOff>0</xdr:rowOff>
    </xdr:to>
    <xdr:sp macro="" textlink="">
      <xdr:nvSpPr>
        <xdr:cNvPr id="61" name="Rectangle: Rounded Corners 60">
          <a:extLst>
            <a:ext uri="{FF2B5EF4-FFF2-40B4-BE49-F238E27FC236}">
              <a16:creationId xmlns:a16="http://schemas.microsoft.com/office/drawing/2014/main" id="{3ABA41D9-8377-492D-8750-D14AB2E2705B}"/>
            </a:ext>
          </a:extLst>
        </xdr:cNvPr>
        <xdr:cNvSpPr/>
      </xdr:nvSpPr>
      <xdr:spPr>
        <a:xfrm>
          <a:off x="20971" y="13820862"/>
          <a:ext cx="9029313" cy="2181138"/>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2">
                  <a:lumMod val="25000"/>
                </a:schemeClr>
              </a:solidFill>
            </a:rPr>
            <a:t>KEY</a:t>
          </a:r>
          <a:r>
            <a:rPr lang="en-IN" sz="2400" b="1" baseline="0">
              <a:solidFill>
                <a:schemeClr val="bg2">
                  <a:lumMod val="25000"/>
                </a:schemeClr>
              </a:solidFill>
            </a:rPr>
            <a:t> INSIGHTS</a:t>
          </a:r>
        </a:p>
        <a:p>
          <a:pPr algn="l"/>
          <a:r>
            <a:rPr lang="en-IN" sz="2400" b="1" baseline="0">
              <a:solidFill>
                <a:schemeClr val="bg2">
                  <a:lumMod val="25000"/>
                </a:schemeClr>
              </a:solidFill>
            </a:rPr>
            <a:t>          &gt; </a:t>
          </a:r>
          <a:r>
            <a:rPr lang="en-IN" sz="2400">
              <a:solidFill>
                <a:schemeClr val="bg2">
                  <a:lumMod val="25000"/>
                </a:schemeClr>
              </a:solidFill>
            </a:rPr>
            <a:t>Highest revenue generated by </a:t>
          </a:r>
          <a:r>
            <a:rPr lang="en-IN" sz="2400" b="1">
              <a:solidFill>
                <a:schemeClr val="bg2">
                  <a:lumMod val="25000"/>
                </a:schemeClr>
              </a:solidFill>
            </a:rPr>
            <a:t>Downtown</a:t>
          </a:r>
          <a:r>
            <a:rPr lang="en-IN" sz="2400">
              <a:solidFill>
                <a:schemeClr val="bg2">
                  <a:lumMod val="25000"/>
                </a:schemeClr>
              </a:solidFill>
            </a:rPr>
            <a:t> store. </a:t>
          </a:r>
        </a:p>
        <a:p>
          <a:pPr algn="l"/>
          <a:r>
            <a:rPr lang="en-IN" sz="2400" b="1" baseline="0">
              <a:solidFill>
                <a:schemeClr val="bg2">
                  <a:lumMod val="25000"/>
                </a:schemeClr>
              </a:solidFill>
            </a:rPr>
            <a:t>          &gt; Coffee</a:t>
          </a:r>
          <a:r>
            <a:rPr lang="en-IN" sz="2400">
              <a:solidFill>
                <a:schemeClr val="bg2">
                  <a:lumMod val="25000"/>
                </a:schemeClr>
              </a:solidFill>
            </a:rPr>
            <a:t> category contributed the highest sales. </a:t>
          </a:r>
        </a:p>
        <a:p>
          <a:pPr lvl="0" algn="l"/>
          <a:r>
            <a:rPr lang="en-IN" sz="2400" b="1">
              <a:solidFill>
                <a:schemeClr val="bg2">
                  <a:lumMod val="25000"/>
                </a:schemeClr>
              </a:solidFill>
            </a:rPr>
            <a:t>          &gt; Card</a:t>
          </a:r>
          <a:r>
            <a:rPr lang="en-IN" sz="2400">
              <a:solidFill>
                <a:schemeClr val="bg2">
                  <a:lumMod val="25000"/>
                </a:schemeClr>
              </a:solidFill>
            </a:rPr>
            <a:t> was the most frequently used payment method. </a:t>
          </a:r>
        </a:p>
        <a:p>
          <a:pPr lvl="0" algn="l"/>
          <a:r>
            <a:rPr lang="en-IN" sz="2400" b="1">
              <a:solidFill>
                <a:schemeClr val="bg2">
                  <a:lumMod val="25000"/>
                </a:schemeClr>
              </a:solidFill>
            </a:rPr>
            <a:t>          &gt; Latte</a:t>
          </a:r>
          <a:r>
            <a:rPr lang="en-IN" sz="2400">
              <a:solidFill>
                <a:schemeClr val="bg2">
                  <a:lumMod val="25000"/>
                </a:schemeClr>
              </a:solidFill>
            </a:rPr>
            <a:t> was the best-selling product.</a:t>
          </a:r>
        </a:p>
        <a:p>
          <a:pPr algn="ctr"/>
          <a:endParaRPr lang="en-IN" sz="20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ana N" refreshedDate="46235.550789930552" createdVersion="8" refreshedVersion="8" minRefreshableVersion="3" recordCount="50" xr:uid="{E139A99C-E73B-4E1F-B8F9-950B6B3B6324}">
  <cacheSource type="worksheet">
    <worksheetSource ref="A1:N51" sheet="Sheet"/>
  </cacheSource>
  <cacheFields count="16">
    <cacheField name="Date" numFmtId="164">
      <sharedItems containsSemiMixedTypes="0" containsNonDate="0" containsDate="1" containsString="0" minDate="2026-01-02T00:00:00" maxDate="2026-03-31T00:00:00" count="41">
        <d v="2026-01-05T00:00:00"/>
        <d v="2026-02-13T00:00:00"/>
        <d v="2026-01-31T00:00:00"/>
        <d v="2026-03-09T00:00:00"/>
        <d v="2026-02-11T00:00:00"/>
        <d v="2026-02-23T00:00:00"/>
        <d v="2026-01-16T00:00:00"/>
        <d v="2026-03-24T00:00:00"/>
        <d v="2026-03-30T00:00:00"/>
        <d v="2026-01-03T00:00:00"/>
        <d v="2026-03-14T00:00:00"/>
        <d v="2026-01-20T00:00:00"/>
        <d v="2026-03-20T00:00:00"/>
        <d v="2026-01-21T00:00:00"/>
        <d v="2026-02-22T00:00:00"/>
        <d v="2026-02-06T00:00:00"/>
        <d v="2026-02-17T00:00:00"/>
        <d v="2026-01-29T00:00:00"/>
        <d v="2026-03-02T00:00:00"/>
        <d v="2026-02-10T00:00:00"/>
        <d v="2026-02-19T00:00:00"/>
        <d v="2026-01-09T00:00:00"/>
        <d v="2026-01-11T00:00:00"/>
        <d v="2026-03-27T00:00:00"/>
        <d v="2026-01-04T00:00:00"/>
        <d v="2026-02-01T00:00:00"/>
        <d v="2026-01-08T00:00:00"/>
        <d v="2026-03-19T00:00:00"/>
        <d v="2026-03-12T00:00:00"/>
        <d v="2026-03-22T00:00:00"/>
        <d v="2026-03-18T00:00:00"/>
        <d v="2026-01-10T00:00:00"/>
        <d v="2026-03-29T00:00:00"/>
        <d v="2026-01-28T00:00:00"/>
        <d v="2026-02-09T00:00:00"/>
        <d v="2026-02-03T00:00:00"/>
        <d v="2026-01-06T00:00:00"/>
        <d v="2026-01-13T00:00:00"/>
        <d v="2026-01-25T00:00:00"/>
        <d v="2026-01-27T00:00:00"/>
        <d v="2026-01-02T00:00:00"/>
      </sharedItems>
      <fieldGroup par="15"/>
    </cacheField>
    <cacheField name="Invoice ID" numFmtId="0">
      <sharedItems/>
    </cacheField>
    <cacheField name="Product" numFmtId="0">
      <sharedItems count="7">
        <s v="Mocha"/>
        <s v="Brownie"/>
        <s v="Sandwich"/>
        <s v="Latte"/>
        <s v="Tea"/>
        <s v="Cappuccino"/>
        <s v="Espresso"/>
      </sharedItems>
    </cacheField>
    <cacheField name="Category" numFmtId="0">
      <sharedItems count="4">
        <s v="Coffee"/>
        <s v="Bakery"/>
        <s v="Food"/>
        <s v="Tea"/>
      </sharedItems>
    </cacheField>
    <cacheField name="Quantity" numFmtId="0">
      <sharedItems containsSemiMixedTypes="0" containsString="0" containsNumber="1" containsInteger="1" minValue="1" maxValue="4"/>
    </cacheField>
    <cacheField name="Unit Price" numFmtId="0">
      <sharedItems containsSemiMixedTypes="0" containsString="0" containsNumber="1" containsInteger="1" minValue="80" maxValue="190"/>
    </cacheField>
    <cacheField name="Discount %" numFmtId="0">
      <sharedItems containsSemiMixedTypes="0" containsString="0" containsNumber="1" containsInteger="1" minValue="0" maxValue="10"/>
    </cacheField>
    <cacheField name="GST %" numFmtId="0">
      <sharedItems containsSemiMixedTypes="0" containsString="0" containsNumber="1" containsInteger="1" minValue="5" maxValue="5"/>
    </cacheField>
    <cacheField name="Total Sales" numFmtId="0">
      <sharedItems containsSemiMixedTypes="0" containsString="0" containsNumber="1" minValue="113.4" maxValue="758.1"/>
    </cacheField>
    <cacheField name="Cost" numFmtId="0">
      <sharedItems containsSemiMixedTypes="0" containsString="0" containsNumber="1" containsInteger="1" minValue="70" maxValue="520"/>
    </cacheField>
    <cacheField name="Profit" numFmtId="0">
      <sharedItems containsSemiMixedTypes="0" containsString="0" containsNumber="1" minValue="43.4" maxValue="254"/>
    </cacheField>
    <cacheField name="Payment Method" numFmtId="0">
      <sharedItems count="3">
        <s v="UPI"/>
        <s v="Card"/>
        <s v="Cash"/>
      </sharedItems>
    </cacheField>
    <cacheField name="Store" numFmtId="0">
      <sharedItems count="3">
        <s v="Downtown"/>
        <s v="Tech Park"/>
        <s v="Mall"/>
      </sharedItems>
    </cacheField>
    <cacheField name="Salesperson" numFmtId="0">
      <sharedItems count="3">
        <s v="Rahul"/>
        <s v="Priya"/>
        <s v="Asha"/>
      </sharedItems>
    </cacheField>
    <cacheField name="Days (Date)" numFmtId="0" databaseField="0">
      <fieldGroup base="0">
        <rangePr groupBy="days" startDate="2026-01-02T00:00:00" endDate="2026-03-31T00:00:00"/>
        <groupItems count="368">
          <s v="&lt;1/2/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26"/>
        </groupItems>
      </fieldGroup>
    </cacheField>
    <cacheField name="Months (Date)" numFmtId="0" databaseField="0">
      <fieldGroup base="0">
        <rangePr groupBy="months" startDate="2026-01-02T00:00:00" endDate="2026-03-31T00:00:00"/>
        <groupItems count="14">
          <s v="&lt;1/2/2026"/>
          <s v="Jan"/>
          <s v="Feb"/>
          <s v="Mar"/>
          <s v="Apr"/>
          <s v="May"/>
          <s v="Jun"/>
          <s v="Jul"/>
          <s v="Aug"/>
          <s v="Sep"/>
          <s v="Oct"/>
          <s v="Nov"/>
          <s v="Dec"/>
          <s v="&gt;3/31/2026"/>
        </groupItems>
      </fieldGroup>
    </cacheField>
  </cacheFields>
  <extLst>
    <ext xmlns:x14="http://schemas.microsoft.com/office/spreadsheetml/2009/9/main" uri="{725AE2AE-9491-48be-B2B4-4EB974FC3084}">
      <x14:pivotCacheDefinition pivotCacheId="1711176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INV1002"/>
    <x v="0"/>
    <x v="0"/>
    <n v="2"/>
    <n v="190"/>
    <n v="0"/>
    <n v="5"/>
    <n v="399"/>
    <n v="260"/>
    <n v="139"/>
    <x v="0"/>
    <x v="0"/>
    <x v="0"/>
  </r>
  <r>
    <x v="1"/>
    <s v="INV1003"/>
    <x v="1"/>
    <x v="1"/>
    <n v="4"/>
    <n v="90"/>
    <n v="5"/>
    <n v="5"/>
    <n v="359.1"/>
    <n v="180"/>
    <n v="179.1"/>
    <x v="1"/>
    <x v="1"/>
    <x v="1"/>
  </r>
  <r>
    <x v="2"/>
    <s v="INV1004"/>
    <x v="2"/>
    <x v="2"/>
    <n v="4"/>
    <n v="160"/>
    <n v="10"/>
    <n v="5"/>
    <n v="604.79999999999995"/>
    <n v="380"/>
    <n v="224.8"/>
    <x v="0"/>
    <x v="0"/>
    <x v="2"/>
  </r>
  <r>
    <x v="3"/>
    <s v="INV1005"/>
    <x v="2"/>
    <x v="2"/>
    <n v="4"/>
    <n v="160"/>
    <n v="10"/>
    <n v="5"/>
    <n v="604.79999999999995"/>
    <n v="380"/>
    <n v="224.8"/>
    <x v="0"/>
    <x v="0"/>
    <x v="0"/>
  </r>
  <r>
    <x v="4"/>
    <s v="INV1006"/>
    <x v="3"/>
    <x v="0"/>
    <n v="2"/>
    <n v="180"/>
    <n v="5"/>
    <n v="5"/>
    <n v="359.1"/>
    <n v="240"/>
    <n v="119.1"/>
    <x v="0"/>
    <x v="1"/>
    <x v="2"/>
  </r>
  <r>
    <x v="5"/>
    <s v="INV1007"/>
    <x v="4"/>
    <x v="3"/>
    <n v="2"/>
    <n v="80"/>
    <n v="5"/>
    <n v="5"/>
    <n v="159.6"/>
    <n v="70"/>
    <n v="89.6"/>
    <x v="1"/>
    <x v="2"/>
    <x v="2"/>
  </r>
  <r>
    <x v="6"/>
    <s v="INV1008"/>
    <x v="3"/>
    <x v="0"/>
    <n v="2"/>
    <n v="180"/>
    <n v="0"/>
    <n v="5"/>
    <n v="378"/>
    <n v="240"/>
    <n v="138"/>
    <x v="0"/>
    <x v="0"/>
    <x v="1"/>
  </r>
  <r>
    <x v="7"/>
    <s v="INV1009"/>
    <x v="3"/>
    <x v="0"/>
    <n v="1"/>
    <n v="180"/>
    <n v="10"/>
    <n v="5"/>
    <n v="170.1"/>
    <n v="120"/>
    <n v="50.1"/>
    <x v="0"/>
    <x v="2"/>
    <x v="2"/>
  </r>
  <r>
    <x v="8"/>
    <s v="INV1010"/>
    <x v="2"/>
    <x v="2"/>
    <n v="3"/>
    <n v="160"/>
    <n v="10"/>
    <n v="5"/>
    <n v="453.6"/>
    <n v="285"/>
    <n v="168.6"/>
    <x v="0"/>
    <x v="0"/>
    <x v="2"/>
  </r>
  <r>
    <x v="9"/>
    <s v="INV1011"/>
    <x v="4"/>
    <x v="3"/>
    <n v="4"/>
    <n v="80"/>
    <n v="10"/>
    <n v="5"/>
    <n v="302.39999999999998"/>
    <n v="140"/>
    <n v="162.4"/>
    <x v="2"/>
    <x v="0"/>
    <x v="1"/>
  </r>
  <r>
    <x v="10"/>
    <s v="INV1012"/>
    <x v="5"/>
    <x v="0"/>
    <n v="4"/>
    <n v="170"/>
    <n v="10"/>
    <n v="5"/>
    <n v="642.6"/>
    <n v="460"/>
    <n v="182.6"/>
    <x v="2"/>
    <x v="0"/>
    <x v="0"/>
  </r>
  <r>
    <x v="11"/>
    <s v="INV1013"/>
    <x v="1"/>
    <x v="1"/>
    <n v="4"/>
    <n v="90"/>
    <n v="5"/>
    <n v="5"/>
    <n v="359.1"/>
    <n v="180"/>
    <n v="179.1"/>
    <x v="2"/>
    <x v="1"/>
    <x v="1"/>
  </r>
  <r>
    <x v="12"/>
    <s v="INV1014"/>
    <x v="1"/>
    <x v="1"/>
    <n v="2"/>
    <n v="90"/>
    <n v="10"/>
    <n v="5"/>
    <n v="170.1"/>
    <n v="90"/>
    <n v="80.099999999999994"/>
    <x v="2"/>
    <x v="2"/>
    <x v="1"/>
  </r>
  <r>
    <x v="13"/>
    <s v="INV1015"/>
    <x v="2"/>
    <x v="2"/>
    <n v="3"/>
    <n v="160"/>
    <n v="0"/>
    <n v="5"/>
    <n v="504"/>
    <n v="285"/>
    <n v="219"/>
    <x v="0"/>
    <x v="1"/>
    <x v="1"/>
  </r>
  <r>
    <x v="14"/>
    <s v="INV1016"/>
    <x v="6"/>
    <x v="0"/>
    <n v="2"/>
    <n v="120"/>
    <n v="0"/>
    <n v="5"/>
    <n v="252"/>
    <n v="140"/>
    <n v="112"/>
    <x v="0"/>
    <x v="1"/>
    <x v="0"/>
  </r>
  <r>
    <x v="15"/>
    <s v="INV1017"/>
    <x v="5"/>
    <x v="0"/>
    <n v="1"/>
    <n v="170"/>
    <n v="5"/>
    <n v="5"/>
    <n v="169.58"/>
    <n v="115"/>
    <n v="54.58"/>
    <x v="0"/>
    <x v="1"/>
    <x v="0"/>
  </r>
  <r>
    <x v="16"/>
    <s v="INV1018"/>
    <x v="6"/>
    <x v="0"/>
    <n v="1"/>
    <n v="120"/>
    <n v="5"/>
    <n v="5"/>
    <n v="119.7"/>
    <n v="70"/>
    <n v="49.7"/>
    <x v="1"/>
    <x v="2"/>
    <x v="0"/>
  </r>
  <r>
    <x v="7"/>
    <s v="INV1019"/>
    <x v="3"/>
    <x v="0"/>
    <n v="1"/>
    <n v="180"/>
    <n v="0"/>
    <n v="5"/>
    <n v="189"/>
    <n v="120"/>
    <n v="69"/>
    <x v="1"/>
    <x v="0"/>
    <x v="0"/>
  </r>
  <r>
    <x v="17"/>
    <s v="INV1020"/>
    <x v="3"/>
    <x v="0"/>
    <n v="2"/>
    <n v="180"/>
    <n v="10"/>
    <n v="5"/>
    <n v="340.2"/>
    <n v="240"/>
    <n v="100.2"/>
    <x v="1"/>
    <x v="1"/>
    <x v="0"/>
  </r>
  <r>
    <x v="18"/>
    <s v="INV1021"/>
    <x v="4"/>
    <x v="3"/>
    <n v="4"/>
    <n v="80"/>
    <n v="0"/>
    <n v="5"/>
    <n v="336"/>
    <n v="140"/>
    <n v="196"/>
    <x v="1"/>
    <x v="0"/>
    <x v="0"/>
  </r>
  <r>
    <x v="19"/>
    <s v="INV1022"/>
    <x v="5"/>
    <x v="0"/>
    <n v="3"/>
    <n v="170"/>
    <n v="5"/>
    <n v="5"/>
    <n v="508.73"/>
    <n v="345"/>
    <n v="163.72999999999999"/>
    <x v="1"/>
    <x v="0"/>
    <x v="0"/>
  </r>
  <r>
    <x v="5"/>
    <s v="INV1023"/>
    <x v="0"/>
    <x v="0"/>
    <n v="4"/>
    <n v="190"/>
    <n v="5"/>
    <n v="5"/>
    <n v="758.1"/>
    <n v="520"/>
    <n v="238.1"/>
    <x v="0"/>
    <x v="0"/>
    <x v="0"/>
  </r>
  <r>
    <x v="20"/>
    <s v="INV1024"/>
    <x v="6"/>
    <x v="0"/>
    <n v="1"/>
    <n v="120"/>
    <n v="0"/>
    <n v="5"/>
    <n v="126"/>
    <n v="70"/>
    <n v="56"/>
    <x v="0"/>
    <x v="2"/>
    <x v="0"/>
  </r>
  <r>
    <x v="21"/>
    <s v="INV1025"/>
    <x v="6"/>
    <x v="0"/>
    <n v="2"/>
    <n v="120"/>
    <n v="10"/>
    <n v="5"/>
    <n v="226.8"/>
    <n v="140"/>
    <n v="86.8"/>
    <x v="0"/>
    <x v="1"/>
    <x v="2"/>
  </r>
  <r>
    <x v="22"/>
    <s v="INV1026"/>
    <x v="0"/>
    <x v="0"/>
    <n v="1"/>
    <n v="190"/>
    <n v="5"/>
    <n v="5"/>
    <n v="189.53"/>
    <n v="130"/>
    <n v="59.53"/>
    <x v="1"/>
    <x v="1"/>
    <x v="0"/>
  </r>
  <r>
    <x v="7"/>
    <s v="INV1027"/>
    <x v="3"/>
    <x v="0"/>
    <n v="3"/>
    <n v="180"/>
    <n v="5"/>
    <n v="5"/>
    <n v="538.65"/>
    <n v="360"/>
    <n v="178.65"/>
    <x v="0"/>
    <x v="2"/>
    <x v="0"/>
  </r>
  <r>
    <x v="23"/>
    <s v="INV1028"/>
    <x v="3"/>
    <x v="0"/>
    <n v="2"/>
    <n v="180"/>
    <n v="5"/>
    <n v="5"/>
    <n v="359.1"/>
    <n v="240"/>
    <n v="119.1"/>
    <x v="1"/>
    <x v="2"/>
    <x v="0"/>
  </r>
  <r>
    <x v="10"/>
    <s v="INV1029"/>
    <x v="2"/>
    <x v="2"/>
    <n v="2"/>
    <n v="160"/>
    <n v="10"/>
    <n v="5"/>
    <n v="302.39999999999998"/>
    <n v="190"/>
    <n v="112.4"/>
    <x v="2"/>
    <x v="2"/>
    <x v="0"/>
  </r>
  <r>
    <x v="14"/>
    <s v="INV1030"/>
    <x v="3"/>
    <x v="0"/>
    <n v="4"/>
    <n v="180"/>
    <n v="10"/>
    <n v="5"/>
    <n v="680.4"/>
    <n v="480"/>
    <n v="200.4"/>
    <x v="1"/>
    <x v="0"/>
    <x v="1"/>
  </r>
  <r>
    <x v="22"/>
    <s v="INV1031"/>
    <x v="1"/>
    <x v="1"/>
    <n v="2"/>
    <n v="90"/>
    <n v="5"/>
    <n v="5"/>
    <n v="179.55"/>
    <n v="90"/>
    <n v="89.55"/>
    <x v="2"/>
    <x v="1"/>
    <x v="0"/>
  </r>
  <r>
    <x v="24"/>
    <s v="INV1032"/>
    <x v="3"/>
    <x v="0"/>
    <n v="4"/>
    <n v="180"/>
    <n v="5"/>
    <n v="5"/>
    <n v="718.2"/>
    <n v="480"/>
    <n v="238.2"/>
    <x v="1"/>
    <x v="2"/>
    <x v="2"/>
  </r>
  <r>
    <x v="25"/>
    <s v="INV1033"/>
    <x v="6"/>
    <x v="0"/>
    <n v="1"/>
    <n v="120"/>
    <n v="10"/>
    <n v="5"/>
    <n v="113.4"/>
    <n v="70"/>
    <n v="43.4"/>
    <x v="1"/>
    <x v="0"/>
    <x v="2"/>
  </r>
  <r>
    <x v="26"/>
    <s v="INV1034"/>
    <x v="2"/>
    <x v="2"/>
    <n v="1"/>
    <n v="160"/>
    <n v="5"/>
    <n v="5"/>
    <n v="159.6"/>
    <n v="95"/>
    <n v="64.599999999999994"/>
    <x v="1"/>
    <x v="0"/>
    <x v="1"/>
  </r>
  <r>
    <x v="27"/>
    <s v="INV1035"/>
    <x v="4"/>
    <x v="3"/>
    <n v="2"/>
    <n v="80"/>
    <n v="0"/>
    <n v="5"/>
    <n v="168"/>
    <n v="70"/>
    <n v="98"/>
    <x v="2"/>
    <x v="1"/>
    <x v="0"/>
  </r>
  <r>
    <x v="28"/>
    <s v="INV1036"/>
    <x v="3"/>
    <x v="0"/>
    <n v="3"/>
    <n v="180"/>
    <n v="10"/>
    <n v="5"/>
    <n v="510.3"/>
    <n v="360"/>
    <n v="150.30000000000001"/>
    <x v="1"/>
    <x v="2"/>
    <x v="2"/>
  </r>
  <r>
    <x v="29"/>
    <s v="INV1037"/>
    <x v="5"/>
    <x v="0"/>
    <n v="4"/>
    <n v="170"/>
    <n v="0"/>
    <n v="5"/>
    <n v="714"/>
    <n v="460"/>
    <n v="254"/>
    <x v="1"/>
    <x v="2"/>
    <x v="1"/>
  </r>
  <r>
    <x v="30"/>
    <s v="INV1038"/>
    <x v="6"/>
    <x v="0"/>
    <n v="4"/>
    <n v="120"/>
    <n v="0"/>
    <n v="5"/>
    <n v="504"/>
    <n v="280"/>
    <n v="224"/>
    <x v="1"/>
    <x v="1"/>
    <x v="1"/>
  </r>
  <r>
    <x v="31"/>
    <s v="INV1039"/>
    <x v="5"/>
    <x v="0"/>
    <n v="4"/>
    <n v="170"/>
    <n v="5"/>
    <n v="5"/>
    <n v="678.3"/>
    <n v="460"/>
    <n v="218.3"/>
    <x v="1"/>
    <x v="1"/>
    <x v="0"/>
  </r>
  <r>
    <x v="32"/>
    <s v="INV1040"/>
    <x v="6"/>
    <x v="0"/>
    <n v="1"/>
    <n v="120"/>
    <n v="0"/>
    <n v="5"/>
    <n v="126"/>
    <n v="70"/>
    <n v="56"/>
    <x v="2"/>
    <x v="1"/>
    <x v="0"/>
  </r>
  <r>
    <x v="33"/>
    <s v="INV1041"/>
    <x v="1"/>
    <x v="1"/>
    <n v="2"/>
    <n v="90"/>
    <n v="5"/>
    <n v="5"/>
    <n v="179.55"/>
    <n v="90"/>
    <n v="89.55"/>
    <x v="0"/>
    <x v="2"/>
    <x v="2"/>
  </r>
  <r>
    <x v="34"/>
    <s v="INV1042"/>
    <x v="4"/>
    <x v="3"/>
    <n v="3"/>
    <n v="80"/>
    <n v="10"/>
    <n v="5"/>
    <n v="226.8"/>
    <n v="105"/>
    <n v="121.8"/>
    <x v="1"/>
    <x v="0"/>
    <x v="1"/>
  </r>
  <r>
    <x v="35"/>
    <s v="INV1043"/>
    <x v="4"/>
    <x v="3"/>
    <n v="2"/>
    <n v="80"/>
    <n v="10"/>
    <n v="5"/>
    <n v="151.19999999999999"/>
    <n v="70"/>
    <n v="81.2"/>
    <x v="0"/>
    <x v="2"/>
    <x v="0"/>
  </r>
  <r>
    <x v="36"/>
    <s v="INV1044"/>
    <x v="5"/>
    <x v="0"/>
    <n v="2"/>
    <n v="170"/>
    <n v="0"/>
    <n v="5"/>
    <n v="357"/>
    <n v="230"/>
    <n v="127"/>
    <x v="1"/>
    <x v="1"/>
    <x v="0"/>
  </r>
  <r>
    <x v="5"/>
    <s v="INV1045"/>
    <x v="5"/>
    <x v="0"/>
    <n v="2"/>
    <n v="170"/>
    <n v="10"/>
    <n v="5"/>
    <n v="321.3"/>
    <n v="230"/>
    <n v="91.3"/>
    <x v="0"/>
    <x v="1"/>
    <x v="1"/>
  </r>
  <r>
    <x v="37"/>
    <s v="INV1046"/>
    <x v="5"/>
    <x v="0"/>
    <n v="1"/>
    <n v="170"/>
    <n v="10"/>
    <n v="5"/>
    <n v="160.65"/>
    <n v="115"/>
    <n v="45.65"/>
    <x v="2"/>
    <x v="0"/>
    <x v="2"/>
  </r>
  <r>
    <x v="38"/>
    <s v="INV1047"/>
    <x v="3"/>
    <x v="0"/>
    <n v="4"/>
    <n v="180"/>
    <n v="5"/>
    <n v="5"/>
    <n v="718.2"/>
    <n v="480"/>
    <n v="238.2"/>
    <x v="2"/>
    <x v="2"/>
    <x v="1"/>
  </r>
  <r>
    <x v="39"/>
    <s v="INV1048"/>
    <x v="0"/>
    <x v="0"/>
    <n v="2"/>
    <n v="190"/>
    <n v="10"/>
    <n v="5"/>
    <n v="359.1"/>
    <n v="260"/>
    <n v="99.1"/>
    <x v="2"/>
    <x v="0"/>
    <x v="1"/>
  </r>
  <r>
    <x v="40"/>
    <s v="INV1049"/>
    <x v="1"/>
    <x v="1"/>
    <n v="4"/>
    <n v="90"/>
    <n v="0"/>
    <n v="5"/>
    <n v="378"/>
    <n v="180"/>
    <n v="198"/>
    <x v="0"/>
    <x v="1"/>
    <x v="0"/>
  </r>
  <r>
    <x v="18"/>
    <s v="INV1050"/>
    <x v="5"/>
    <x v="0"/>
    <n v="4"/>
    <n v="170"/>
    <n v="10"/>
    <n v="5"/>
    <n v="642.6"/>
    <n v="460"/>
    <n v="182.6"/>
    <x v="2"/>
    <x v="0"/>
    <x v="1"/>
  </r>
  <r>
    <x v="23"/>
    <s v="INV1051"/>
    <x v="2"/>
    <x v="2"/>
    <n v="1"/>
    <n v="160"/>
    <n v="5"/>
    <n v="5"/>
    <n v="159.6"/>
    <n v="95"/>
    <n v="64.599999999999994"/>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ABEDA3-1543-48F4-A5F0-CDD0AFB565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U3:V11" firstHeaderRow="1" firstDataRow="1" firstDataCol="1"/>
  <pivotFields count="16">
    <pivotField numFmtId="164" showAll="0">
      <items count="42">
        <item x="40"/>
        <item x="9"/>
        <item x="24"/>
        <item x="0"/>
        <item x="36"/>
        <item x="26"/>
        <item x="21"/>
        <item x="31"/>
        <item x="22"/>
        <item x="37"/>
        <item x="6"/>
        <item x="11"/>
        <item x="13"/>
        <item x="38"/>
        <item x="39"/>
        <item x="33"/>
        <item x="17"/>
        <item x="2"/>
        <item x="25"/>
        <item x="35"/>
        <item x="15"/>
        <item x="34"/>
        <item x="19"/>
        <item x="4"/>
        <item x="1"/>
        <item x="16"/>
        <item x="20"/>
        <item x="14"/>
        <item x="5"/>
        <item x="18"/>
        <item x="3"/>
        <item x="28"/>
        <item x="10"/>
        <item x="30"/>
        <item x="27"/>
        <item x="12"/>
        <item x="29"/>
        <item x="7"/>
        <item x="23"/>
        <item x="32"/>
        <item x="8"/>
        <item t="default"/>
      </items>
    </pivotField>
    <pivotField showAll="0"/>
    <pivotField axis="axisRow" showAll="0" sortType="descending">
      <items count="8">
        <item x="1"/>
        <item x="5"/>
        <item x="6"/>
        <item x="3"/>
        <item x="0"/>
        <item x="2"/>
        <item x="4"/>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dataField="1"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v="3"/>
    </i>
    <i>
      <x v="1"/>
    </i>
    <i>
      <x v="5"/>
    </i>
    <i>
      <x/>
    </i>
    <i>
      <x v="6"/>
    </i>
    <i>
      <x v="2"/>
    </i>
    <i>
      <x v="4"/>
    </i>
    <i t="grand">
      <x/>
    </i>
  </rowItems>
  <colItems count="1">
    <i/>
  </colItems>
  <dataFields count="1">
    <dataField name="Sum of Quantity" fld="4" baseField="0" baseItem="0"/>
  </dataFields>
  <conditionalFormats count="1">
    <conditionalFormat priority="4">
      <pivotAreas count="1">
        <pivotArea type="data" collapsedLevelsAreSubtotals="1" fieldPosition="0">
          <references count="2">
            <reference field="4294967294" count="1" selected="0">
              <x v="0"/>
            </reference>
            <reference field="2" count="7">
              <x v="0"/>
              <x v="1"/>
              <x v="2"/>
              <x v="3"/>
              <x v="4"/>
              <x v="5"/>
              <x v="6"/>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C1F9C0-21CB-4689-B5B7-EFA387937AB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X75:Y83" firstHeaderRow="1" firstDataRow="1" firstDataCol="1"/>
  <pivotFields count="16">
    <pivotField numFmtId="164" showAll="0">
      <items count="42">
        <item x="40"/>
        <item x="9"/>
        <item x="24"/>
        <item x="0"/>
        <item x="36"/>
        <item x="26"/>
        <item x="21"/>
        <item x="31"/>
        <item x="22"/>
        <item x="37"/>
        <item x="6"/>
        <item x="11"/>
        <item x="13"/>
        <item x="38"/>
        <item x="39"/>
        <item x="33"/>
        <item x="17"/>
        <item x="2"/>
        <item x="25"/>
        <item x="35"/>
        <item x="15"/>
        <item x="34"/>
        <item x="19"/>
        <item x="4"/>
        <item x="1"/>
        <item x="16"/>
        <item x="20"/>
        <item x="14"/>
        <item x="5"/>
        <item x="18"/>
        <item x="3"/>
        <item x="28"/>
        <item x="10"/>
        <item x="30"/>
        <item x="27"/>
        <item x="12"/>
        <item x="29"/>
        <item x="7"/>
        <item x="23"/>
        <item x="32"/>
        <item x="8"/>
        <item t="default"/>
      </items>
    </pivotField>
    <pivotField showAll="0"/>
    <pivotField axis="axisRow" showAll="0" sortType="descending">
      <items count="8">
        <item x="4"/>
        <item x="2"/>
        <item x="0"/>
        <item x="3"/>
        <item x="6"/>
        <item x="5"/>
        <item x="1"/>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v="3"/>
    </i>
    <i>
      <x v="5"/>
    </i>
    <i>
      <x v="1"/>
    </i>
    <i>
      <x v="2"/>
    </i>
    <i>
      <x v="6"/>
    </i>
    <i>
      <x v="4"/>
    </i>
    <i>
      <x/>
    </i>
    <i t="grand">
      <x/>
    </i>
  </rowItems>
  <colItems count="1">
    <i/>
  </colItems>
  <dataFields count="1">
    <dataField name="Sum of Total Sales" fld="8" baseField="0" baseItem="0"/>
  </dataFields>
  <formats count="3">
    <format dxfId="2">
      <pivotArea field="2" type="button" dataOnly="0" labelOnly="1" outline="0" axis="axisRow" fieldPosition="0"/>
    </format>
    <format dxfId="1">
      <pivotArea dataOnly="0" labelOnly="1" fieldPosition="0">
        <references count="1">
          <reference field="2" count="0"/>
        </references>
      </pivotArea>
    </format>
    <format dxfId="0">
      <pivotArea dataOnly="0" labelOnly="1" grandRow="1" outline="0" fieldPosition="0"/>
    </format>
  </formats>
  <conditionalFormats count="1">
    <conditionalFormat type="all" priority="1">
      <pivotAreas count="1">
        <pivotArea type="data" collapsedLevelsAreSubtotals="1" fieldPosition="0">
          <references count="2">
            <reference field="4294967294" count="1" selected="0">
              <x v="0"/>
            </reference>
            <reference field="2" count="7">
              <x v="0"/>
              <x v="1"/>
              <x v="2"/>
              <x v="3"/>
              <x v="4"/>
              <x v="5"/>
              <x v="6"/>
            </reference>
          </references>
        </pivotArea>
      </pivotAreas>
    </conditionalFormat>
  </conditional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13BD4D-E105-4373-B10A-1110D1B77F4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75:R79" firstHeaderRow="1" firstDataRow="1" firstDataCol="1"/>
  <pivotFields count="16">
    <pivotField numFmtId="164" showAll="0">
      <items count="42">
        <item x="40"/>
        <item x="9"/>
        <item x="24"/>
        <item x="0"/>
        <item x="36"/>
        <item x="26"/>
        <item x="21"/>
        <item x="31"/>
        <item x="22"/>
        <item x="37"/>
        <item x="6"/>
        <item x="11"/>
        <item x="13"/>
        <item x="38"/>
        <item x="39"/>
        <item x="33"/>
        <item x="17"/>
        <item x="2"/>
        <item x="25"/>
        <item x="35"/>
        <item x="15"/>
        <item x="34"/>
        <item x="19"/>
        <item x="4"/>
        <item x="1"/>
        <item x="16"/>
        <item x="20"/>
        <item x="14"/>
        <item x="5"/>
        <item x="18"/>
        <item x="3"/>
        <item x="28"/>
        <item x="10"/>
        <item x="30"/>
        <item x="27"/>
        <item x="12"/>
        <item x="29"/>
        <item x="7"/>
        <item x="23"/>
        <item x="32"/>
        <item x="8"/>
        <item t="default"/>
      </items>
    </pivotField>
    <pivotField showAll="0"/>
    <pivotField showAll="0"/>
    <pivotField showAll="0">
      <items count="5">
        <item x="1"/>
        <item x="0"/>
        <item x="2"/>
        <item x="3"/>
        <item t="default"/>
      </items>
    </pivotField>
    <pivotField showAll="0"/>
    <pivotField showAll="0"/>
    <pivotField showAll="0"/>
    <pivotField showAll="0"/>
    <pivotField showAll="0"/>
    <pivotField showAll="0"/>
    <pivotField dataField="1" showAll="0"/>
    <pivotField showAll="0">
      <items count="4">
        <item x="1"/>
        <item x="2"/>
        <item x="0"/>
        <item t="default"/>
      </items>
    </pivotField>
    <pivotField axis="axisRow" showAll="0">
      <items count="4">
        <item x="0"/>
        <item x="2"/>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Sum of Profit"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BD5E9-6D95-4A9B-99B6-4B16315E077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51:Q56" firstHeaderRow="1" firstDataRow="1" firstDataCol="1"/>
  <pivotFields count="16">
    <pivotField numFmtId="164" showAll="0">
      <items count="42">
        <item x="40"/>
        <item x="9"/>
        <item x="24"/>
        <item x="0"/>
        <item x="36"/>
        <item x="26"/>
        <item x="21"/>
        <item x="31"/>
        <item x="22"/>
        <item x="37"/>
        <item x="6"/>
        <item x="11"/>
        <item x="13"/>
        <item x="38"/>
        <item x="39"/>
        <item x="33"/>
        <item x="17"/>
        <item x="2"/>
        <item x="25"/>
        <item x="35"/>
        <item x="15"/>
        <item x="34"/>
        <item x="19"/>
        <item x="4"/>
        <item x="1"/>
        <item x="16"/>
        <item x="20"/>
        <item x="14"/>
        <item x="5"/>
        <item x="18"/>
        <item x="3"/>
        <item x="28"/>
        <item x="10"/>
        <item x="30"/>
        <item x="27"/>
        <item x="12"/>
        <item x="29"/>
        <item x="7"/>
        <item x="23"/>
        <item x="32"/>
        <item x="8"/>
        <item t="default"/>
      </items>
    </pivotField>
    <pivotField showAll="0"/>
    <pivotField showAll="0"/>
    <pivotField axis="axisRow" showAll="0">
      <items count="5">
        <item x="1"/>
        <item x="0"/>
        <item x="2"/>
        <item x="3"/>
        <item t="default"/>
      </items>
    </pivotField>
    <pivotField showAll="0"/>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BC0708-C339-49E5-9A60-4E8868C4C9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3:R11" firstHeaderRow="1" firstDataRow="1" firstDataCol="1"/>
  <pivotFields count="16">
    <pivotField numFmtId="164" showAll="0">
      <items count="42">
        <item x="40"/>
        <item x="9"/>
        <item x="24"/>
        <item x="0"/>
        <item x="36"/>
        <item x="26"/>
        <item x="21"/>
        <item x="31"/>
        <item x="22"/>
        <item x="37"/>
        <item x="6"/>
        <item x="11"/>
        <item x="13"/>
        <item x="38"/>
        <item x="39"/>
        <item x="33"/>
        <item x="17"/>
        <item x="2"/>
        <item x="25"/>
        <item x="35"/>
        <item x="15"/>
        <item x="34"/>
        <item x="19"/>
        <item x="4"/>
        <item x="1"/>
        <item x="16"/>
        <item x="20"/>
        <item x="14"/>
        <item x="5"/>
        <item x="18"/>
        <item x="3"/>
        <item x="28"/>
        <item x="10"/>
        <item x="30"/>
        <item x="27"/>
        <item x="12"/>
        <item x="29"/>
        <item x="7"/>
        <item x="23"/>
        <item x="32"/>
        <item x="8"/>
        <item t="default"/>
      </items>
    </pivotField>
    <pivotField showAll="0"/>
    <pivotField axis="axisRow" showAll="0" sortType="descending">
      <items count="8">
        <item x="1"/>
        <item x="5"/>
        <item x="6"/>
        <item x="3"/>
        <item x="0"/>
        <item x="2"/>
        <item x="4"/>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v="3"/>
    </i>
    <i>
      <x v="1"/>
    </i>
    <i>
      <x v="5"/>
    </i>
    <i>
      <x v="4"/>
    </i>
    <i>
      <x/>
    </i>
    <i>
      <x v="2"/>
    </i>
    <i>
      <x v="6"/>
    </i>
    <i t="grand">
      <x/>
    </i>
  </rowItems>
  <colItems count="1">
    <i/>
  </colItems>
  <dataFields count="1">
    <dataField name="Sum of Total Sales" fld="8" baseField="0" baseItem="0"/>
  </dataFields>
  <conditionalFormats count="1">
    <conditionalFormat priority="5">
      <pivotAreas count="1">
        <pivotArea type="data" collapsedLevelsAreSubtotals="1" fieldPosition="0">
          <references count="2">
            <reference field="4294967294" count="1" selected="0">
              <x v="0"/>
            </reference>
            <reference field="2" count="7">
              <x v="0"/>
              <x v="1"/>
              <x v="2"/>
              <x v="3"/>
              <x v="4"/>
              <x v="5"/>
              <x v="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3DEEA6-F1F7-468E-A111-27001CEFDEF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V51:W55" firstHeaderRow="1" firstDataRow="1" firstDataCol="1"/>
  <pivotFields count="16">
    <pivotField numFmtId="164" showAll="0">
      <items count="42">
        <item x="40"/>
        <item x="9"/>
        <item x="24"/>
        <item x="0"/>
        <item x="36"/>
        <item x="26"/>
        <item x="21"/>
        <item x="31"/>
        <item x="22"/>
        <item x="37"/>
        <item x="6"/>
        <item x="11"/>
        <item x="13"/>
        <item x="38"/>
        <item x="39"/>
        <item x="33"/>
        <item x="17"/>
        <item x="2"/>
        <item x="25"/>
        <item x="35"/>
        <item x="15"/>
        <item x="34"/>
        <item x="19"/>
        <item x="4"/>
        <item x="1"/>
        <item x="16"/>
        <item x="20"/>
        <item x="14"/>
        <item x="5"/>
        <item x="18"/>
        <item x="3"/>
        <item x="28"/>
        <item x="10"/>
        <item x="30"/>
        <item x="27"/>
        <item x="12"/>
        <item x="29"/>
        <item x="7"/>
        <item x="23"/>
        <item x="32"/>
        <item x="8"/>
        <item t="default"/>
      </items>
    </pivotField>
    <pivotField showAll="0"/>
    <pivotField showAll="0"/>
    <pivotField showAll="0">
      <items count="5">
        <item x="1"/>
        <item x="0"/>
        <item x="2"/>
        <item x="3"/>
        <item t="default"/>
      </items>
    </pivotField>
    <pivotField showAll="0"/>
    <pivotField showAll="0"/>
    <pivotField showAll="0"/>
    <pivotField showAll="0"/>
    <pivotField dataField="1" showAll="0"/>
    <pivotField showAll="0"/>
    <pivotField showAll="0"/>
    <pivotField axis="axisRow" showAll="0">
      <items count="4">
        <item x="1"/>
        <item x="2"/>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4">
    <i>
      <x/>
    </i>
    <i>
      <x v="1"/>
    </i>
    <i>
      <x v="2"/>
    </i>
    <i t="grand">
      <x/>
    </i>
  </rowItems>
  <colItems count="1">
    <i/>
  </colItems>
  <dataFields count="1">
    <dataField name="Sum of Total Sales" fld="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1" count="1" selected="0">
            <x v="0"/>
          </reference>
        </references>
      </pivotArea>
    </chartFormat>
    <chartFormat chart="5" format="10">
      <pivotArea type="data" outline="0" fieldPosition="0">
        <references count="2">
          <reference field="4294967294" count="1" selected="0">
            <x v="0"/>
          </reference>
          <reference field="11" count="1" selected="0">
            <x v="1"/>
          </reference>
        </references>
      </pivotArea>
    </chartFormat>
    <chartFormat chart="5"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969EAE-AE64-45CA-A03D-1C9C1BF1000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31:R35" firstHeaderRow="1" firstDataRow="1" firstDataCol="1"/>
  <pivotFields count="16">
    <pivotField axis="axisRow" numFmtId="164" showAll="0">
      <items count="42">
        <item x="40"/>
        <item x="9"/>
        <item x="24"/>
        <item x="0"/>
        <item x="36"/>
        <item x="26"/>
        <item x="21"/>
        <item x="31"/>
        <item x="22"/>
        <item x="37"/>
        <item x="6"/>
        <item x="11"/>
        <item x="13"/>
        <item x="38"/>
        <item x="39"/>
        <item x="33"/>
        <item x="17"/>
        <item x="2"/>
        <item x="25"/>
        <item x="35"/>
        <item x="15"/>
        <item x="34"/>
        <item x="19"/>
        <item x="4"/>
        <item x="1"/>
        <item x="16"/>
        <item x="20"/>
        <item x="14"/>
        <item x="5"/>
        <item x="18"/>
        <item x="3"/>
        <item x="28"/>
        <item x="10"/>
        <item x="30"/>
        <item x="27"/>
        <item x="12"/>
        <item x="29"/>
        <item x="7"/>
        <item x="23"/>
        <item x="32"/>
        <item x="8"/>
        <item t="default"/>
      </items>
    </pivotField>
    <pivotField showAll="0"/>
    <pivotField showAll="0"/>
    <pivotField showAll="0">
      <items count="5">
        <item x="1"/>
        <item x="0"/>
        <item x="2"/>
        <item x="3"/>
        <item t="default"/>
      </items>
    </pivotField>
    <pivotField showAll="0"/>
    <pivotField showAll="0"/>
    <pivotField showAll="0"/>
    <pivotField showAll="0"/>
    <pivotField dataField="1" showAll="0"/>
    <pivotField showAll="0"/>
    <pivotField showAll="0"/>
    <pivotField showAll="0">
      <items count="4">
        <item x="1"/>
        <item x="2"/>
        <item x="0"/>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0"/>
  </rowFields>
  <rowItems count="4">
    <i>
      <x v="1"/>
    </i>
    <i>
      <x v="2"/>
    </i>
    <i>
      <x v="3"/>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8C8896-F472-48A6-BE0F-CBFFF9AC75E4}" sourceName="Category">
  <pivotTables>
    <pivotTable tabId="1" name="PivotTable10"/>
    <pivotTable tabId="1" name="PivotTable11"/>
    <pivotTable tabId="1" name="PivotTable12"/>
    <pivotTable tabId="1" name="PivotTable6"/>
    <pivotTable tabId="1" name="PivotTable7"/>
    <pivotTable tabId="1" name="PivotTable8"/>
    <pivotTable tabId="1" name="PivotTable9"/>
  </pivotTables>
  <data>
    <tabular pivotCacheId="1711176914">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880546A-14E4-4107-8CF1-93BE55229F0A}" sourceName="Payment Method">
  <data>
    <tabular pivotCacheId="171117691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73D25EEF-FCDA-4630-90E8-F3B94828A6AB}" sourceName="Store">
  <data>
    <tabular pivotCacheId="17111769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1C442C8-518E-47FD-BFD1-C4288BC5FC17}" sourceName="Salesperson">
  <data>
    <tabular pivotCacheId="171117691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CD94C52-60D9-4B15-BBC3-E956B26FEC8F}" cache="Slicer_Category" caption="Category" rowHeight="234950"/>
  <slicer name="Payment Method" xr10:uid="{0A1925BB-DFB9-4408-9F4F-6ECB90EDE683}" cache="Slicer_Payment_Method" caption="Payment Method" rowHeight="234950"/>
  <slicer name="Store" xr10:uid="{AE6038E7-8290-4788-BD2A-159C3CBAA787}" cache="Slicer_Store" caption="Store" rowHeight="234950"/>
  <slicer name="Salesperson" xr10:uid="{982B50A1-E182-4212-BC73-3A058672051B}" cache="Slicer_Salesperson" caption="Salesper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6E3D419-3164-4689-81A8-745E8893757A}" cache="Slicer_Category" caption="Category" rowHeight="234950"/>
  <slicer name="Payment Method 1" xr10:uid="{41D36413-EFD2-40FF-B6C4-6D8692DA4CDF}" cache="Slicer_Payment_Method" caption="Payment Method" rowHeight="234950"/>
  <slicer name="Store 1" xr10:uid="{4FE8F195-DE17-4ABF-AAE4-6C7F4C18C9A6}" cache="Slicer_Store" caption="Store" rowHeight="234950"/>
  <slicer name="Salesperson 1" xr10:uid="{AF05C1AB-C0A7-4339-9B77-E0186344DE10}" cache="Slicer_Salesperson" caption="Salesper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3"/>
  <sheetViews>
    <sheetView tabSelected="1" zoomScale="59" zoomScaleNormal="83" workbookViewId="0">
      <selection activeCell="Q95" sqref="Q95"/>
    </sheetView>
  </sheetViews>
  <sheetFormatPr defaultRowHeight="14.4" x14ac:dyDescent="0.3"/>
  <cols>
    <col min="1" max="1" width="27.77734375" customWidth="1"/>
    <col min="2" max="2" width="16.88671875" bestFit="1" customWidth="1"/>
    <col min="6" max="6" width="9.6640625" style="7" customWidth="1"/>
    <col min="9" max="9" width="12.21875" customWidth="1"/>
    <col min="10" max="10" width="16.33203125" style="7" customWidth="1"/>
    <col min="11" max="11" width="17" style="7" bestFit="1" customWidth="1"/>
    <col min="12" max="12" width="11.109375" customWidth="1"/>
    <col min="16" max="16" width="13" bestFit="1" customWidth="1"/>
    <col min="17" max="18" width="16.77734375" bestFit="1" customWidth="1"/>
    <col min="19" max="19" width="16.5546875" customWidth="1"/>
    <col min="21" max="21" width="13" bestFit="1" customWidth="1"/>
    <col min="22" max="22" width="15.21875" bestFit="1" customWidth="1"/>
    <col min="23" max="23" width="16.77734375" bestFit="1" customWidth="1"/>
    <col min="24" max="24" width="14.33203125" bestFit="1" customWidth="1"/>
    <col min="25" max="25" width="17" bestFit="1" customWidth="1"/>
  </cols>
  <sheetData>
    <row r="1" spans="1:25" x14ac:dyDescent="0.3">
      <c r="A1" t="s">
        <v>0</v>
      </c>
      <c r="B1" t="s">
        <v>1</v>
      </c>
      <c r="C1" t="s">
        <v>2</v>
      </c>
      <c r="D1" t="s">
        <v>3</v>
      </c>
      <c r="E1" t="s">
        <v>4</v>
      </c>
      <c r="F1" s="7" t="s">
        <v>5</v>
      </c>
      <c r="G1" t="s">
        <v>6</v>
      </c>
      <c r="H1" t="s">
        <v>7</v>
      </c>
      <c r="I1" s="7" t="s">
        <v>8</v>
      </c>
      <c r="J1" s="7" t="s">
        <v>9</v>
      </c>
      <c r="K1" s="7" t="s">
        <v>10</v>
      </c>
      <c r="L1" t="s">
        <v>11</v>
      </c>
      <c r="M1" t="s">
        <v>12</v>
      </c>
      <c r="N1" t="s">
        <v>13</v>
      </c>
      <c r="P1" s="4"/>
      <c r="Q1" s="23" t="s">
        <v>83</v>
      </c>
      <c r="R1" s="23"/>
      <c r="S1" s="23"/>
      <c r="T1" s="23"/>
      <c r="U1" s="23"/>
      <c r="V1" s="23"/>
      <c r="W1" s="4"/>
      <c r="X1" s="4"/>
      <c r="Y1" s="4"/>
    </row>
    <row r="2" spans="1:25" x14ac:dyDescent="0.3">
      <c r="A2" s="1">
        <v>46111</v>
      </c>
      <c r="B2" t="s">
        <v>38</v>
      </c>
      <c r="C2" t="s">
        <v>27</v>
      </c>
      <c r="D2" t="s">
        <v>28</v>
      </c>
      <c r="E2">
        <v>3</v>
      </c>
      <c r="F2" s="7">
        <v>160</v>
      </c>
      <c r="G2">
        <v>10</v>
      </c>
      <c r="H2">
        <v>5</v>
      </c>
      <c r="I2" s="7">
        <v>453.6</v>
      </c>
      <c r="J2" s="7">
        <v>285</v>
      </c>
      <c r="K2" s="7">
        <v>168.6</v>
      </c>
      <c r="L2" t="s">
        <v>17</v>
      </c>
      <c r="M2" t="s">
        <v>18</v>
      </c>
      <c r="N2" t="s">
        <v>29</v>
      </c>
      <c r="Q2" s="24" t="s">
        <v>101</v>
      </c>
      <c r="R2" s="24"/>
      <c r="S2" s="3"/>
      <c r="T2" s="3"/>
      <c r="U2" s="24" t="s">
        <v>102</v>
      </c>
      <c r="V2" s="24"/>
    </row>
    <row r="3" spans="1:25" x14ac:dyDescent="0.3">
      <c r="A3" s="1">
        <v>46110</v>
      </c>
      <c r="B3" t="s">
        <v>71</v>
      </c>
      <c r="C3" t="s">
        <v>47</v>
      </c>
      <c r="D3" t="s">
        <v>16</v>
      </c>
      <c r="E3">
        <v>1</v>
      </c>
      <c r="F3" s="7">
        <v>120</v>
      </c>
      <c r="G3">
        <v>0</v>
      </c>
      <c r="H3">
        <v>5</v>
      </c>
      <c r="I3" s="7">
        <v>126</v>
      </c>
      <c r="J3" s="7">
        <v>70</v>
      </c>
      <c r="K3" s="7">
        <v>56</v>
      </c>
      <c r="L3" t="s">
        <v>40</v>
      </c>
      <c r="M3" t="s">
        <v>24</v>
      </c>
      <c r="N3" t="s">
        <v>19</v>
      </c>
      <c r="Q3" t="s">
        <v>84</v>
      </c>
      <c r="R3" t="s">
        <v>86</v>
      </c>
      <c r="U3" t="s">
        <v>84</v>
      </c>
      <c r="V3" t="s">
        <v>87</v>
      </c>
    </row>
    <row r="4" spans="1:25" x14ac:dyDescent="0.3">
      <c r="A4" s="1">
        <v>46108</v>
      </c>
      <c r="B4" t="s">
        <v>59</v>
      </c>
      <c r="C4" t="s">
        <v>32</v>
      </c>
      <c r="D4" t="s">
        <v>16</v>
      </c>
      <c r="E4">
        <v>2</v>
      </c>
      <c r="F4" s="7">
        <v>180</v>
      </c>
      <c r="G4">
        <v>5</v>
      </c>
      <c r="H4">
        <v>5</v>
      </c>
      <c r="I4" s="7">
        <v>359.1</v>
      </c>
      <c r="J4" s="7">
        <v>240</v>
      </c>
      <c r="K4" s="7">
        <v>119.1</v>
      </c>
      <c r="L4" t="s">
        <v>23</v>
      </c>
      <c r="M4" t="s">
        <v>35</v>
      </c>
      <c r="N4" t="s">
        <v>19</v>
      </c>
      <c r="Q4" t="s">
        <v>32</v>
      </c>
      <c r="R4">
        <v>4961.25</v>
      </c>
      <c r="U4" t="s">
        <v>32</v>
      </c>
      <c r="V4">
        <v>28</v>
      </c>
    </row>
    <row r="5" spans="1:25" x14ac:dyDescent="0.3">
      <c r="A5" s="1">
        <v>46108</v>
      </c>
      <c r="B5" t="s">
        <v>82</v>
      </c>
      <c r="C5" t="s">
        <v>27</v>
      </c>
      <c r="D5" t="s">
        <v>28</v>
      </c>
      <c r="E5">
        <v>1</v>
      </c>
      <c r="F5" s="7">
        <v>160</v>
      </c>
      <c r="G5">
        <v>5</v>
      </c>
      <c r="H5">
        <v>5</v>
      </c>
      <c r="I5" s="7">
        <v>159.6</v>
      </c>
      <c r="J5" s="7">
        <v>95</v>
      </c>
      <c r="K5" s="7">
        <v>64.599999999999994</v>
      </c>
      <c r="L5" t="s">
        <v>23</v>
      </c>
      <c r="M5" t="s">
        <v>24</v>
      </c>
      <c r="N5" t="s">
        <v>19</v>
      </c>
      <c r="Q5" t="s">
        <v>42</v>
      </c>
      <c r="R5">
        <v>4194.76</v>
      </c>
      <c r="U5" t="s">
        <v>42</v>
      </c>
      <c r="V5">
        <v>25</v>
      </c>
    </row>
    <row r="6" spans="1:25" x14ac:dyDescent="0.3">
      <c r="A6" s="1">
        <v>46105</v>
      </c>
      <c r="B6" t="s">
        <v>37</v>
      </c>
      <c r="C6" t="s">
        <v>32</v>
      </c>
      <c r="D6" t="s">
        <v>16</v>
      </c>
      <c r="E6">
        <v>1</v>
      </c>
      <c r="F6" s="7">
        <v>180</v>
      </c>
      <c r="G6">
        <v>10</v>
      </c>
      <c r="H6">
        <v>5</v>
      </c>
      <c r="I6" s="7">
        <v>170.1</v>
      </c>
      <c r="J6" s="7">
        <v>120</v>
      </c>
      <c r="K6" s="7">
        <v>50.1</v>
      </c>
      <c r="L6" t="s">
        <v>17</v>
      </c>
      <c r="M6" t="s">
        <v>35</v>
      </c>
      <c r="N6" t="s">
        <v>29</v>
      </c>
      <c r="Q6" t="s">
        <v>27</v>
      </c>
      <c r="R6">
        <v>2788.7999999999997</v>
      </c>
      <c r="U6" t="s">
        <v>27</v>
      </c>
      <c r="V6">
        <v>18</v>
      </c>
    </row>
    <row r="7" spans="1:25" x14ac:dyDescent="0.3">
      <c r="A7" s="1">
        <v>46105</v>
      </c>
      <c r="B7" t="s">
        <v>50</v>
      </c>
      <c r="C7" t="s">
        <v>32</v>
      </c>
      <c r="D7" t="s">
        <v>16</v>
      </c>
      <c r="E7">
        <v>1</v>
      </c>
      <c r="F7" s="7">
        <v>180</v>
      </c>
      <c r="G7">
        <v>0</v>
      </c>
      <c r="H7">
        <v>5</v>
      </c>
      <c r="I7" s="7">
        <v>189</v>
      </c>
      <c r="J7" s="7">
        <v>120</v>
      </c>
      <c r="K7" s="7">
        <v>69</v>
      </c>
      <c r="L7" t="s">
        <v>23</v>
      </c>
      <c r="M7" t="s">
        <v>18</v>
      </c>
      <c r="N7" t="s">
        <v>19</v>
      </c>
      <c r="Q7" t="s">
        <v>15</v>
      </c>
      <c r="R7">
        <v>1705.73</v>
      </c>
      <c r="U7" t="s">
        <v>21</v>
      </c>
      <c r="V7">
        <v>18</v>
      </c>
    </row>
    <row r="8" spans="1:25" x14ac:dyDescent="0.3">
      <c r="A8" s="1">
        <v>46105</v>
      </c>
      <c r="B8" t="s">
        <v>58</v>
      </c>
      <c r="C8" t="s">
        <v>32</v>
      </c>
      <c r="D8" t="s">
        <v>16</v>
      </c>
      <c r="E8">
        <v>3</v>
      </c>
      <c r="F8" s="7">
        <v>180</v>
      </c>
      <c r="G8">
        <v>5</v>
      </c>
      <c r="H8">
        <v>5</v>
      </c>
      <c r="I8" s="7">
        <v>538.65</v>
      </c>
      <c r="J8" s="7">
        <v>360</v>
      </c>
      <c r="K8" s="7">
        <v>178.65</v>
      </c>
      <c r="L8" t="s">
        <v>17</v>
      </c>
      <c r="M8" t="s">
        <v>35</v>
      </c>
      <c r="N8" t="s">
        <v>19</v>
      </c>
      <c r="Q8" t="s">
        <v>21</v>
      </c>
      <c r="R8">
        <v>1625.4</v>
      </c>
      <c r="U8" t="s">
        <v>34</v>
      </c>
      <c r="V8">
        <v>17</v>
      </c>
    </row>
    <row r="9" spans="1:25" x14ac:dyDescent="0.3">
      <c r="A9" s="1">
        <v>46103</v>
      </c>
      <c r="B9" t="s">
        <v>68</v>
      </c>
      <c r="C9" t="s">
        <v>42</v>
      </c>
      <c r="D9" t="s">
        <v>16</v>
      </c>
      <c r="E9">
        <v>4</v>
      </c>
      <c r="F9" s="7">
        <v>170</v>
      </c>
      <c r="G9">
        <v>0</v>
      </c>
      <c r="H9">
        <v>5</v>
      </c>
      <c r="I9" s="7">
        <v>714</v>
      </c>
      <c r="J9" s="7">
        <v>460</v>
      </c>
      <c r="K9" s="7">
        <v>254</v>
      </c>
      <c r="L9" t="s">
        <v>23</v>
      </c>
      <c r="M9" t="s">
        <v>35</v>
      </c>
      <c r="N9" t="s">
        <v>25</v>
      </c>
      <c r="Q9" t="s">
        <v>47</v>
      </c>
      <c r="R9">
        <v>1467.9</v>
      </c>
      <c r="U9" t="s">
        <v>47</v>
      </c>
      <c r="V9">
        <v>12</v>
      </c>
    </row>
    <row r="10" spans="1:25" x14ac:dyDescent="0.3">
      <c r="A10" s="1">
        <v>46101</v>
      </c>
      <c r="B10" t="s">
        <v>44</v>
      </c>
      <c r="C10" t="s">
        <v>21</v>
      </c>
      <c r="D10" t="s">
        <v>22</v>
      </c>
      <c r="E10">
        <v>2</v>
      </c>
      <c r="F10" s="7">
        <v>90</v>
      </c>
      <c r="G10">
        <v>10</v>
      </c>
      <c r="H10">
        <v>5</v>
      </c>
      <c r="I10" s="7">
        <v>170.1</v>
      </c>
      <c r="J10" s="7">
        <v>90</v>
      </c>
      <c r="K10" s="7">
        <v>80.099999999999994</v>
      </c>
      <c r="L10" t="s">
        <v>40</v>
      </c>
      <c r="M10" t="s">
        <v>35</v>
      </c>
      <c r="N10" t="s">
        <v>25</v>
      </c>
      <c r="Q10" t="s">
        <v>34</v>
      </c>
      <c r="R10">
        <v>1344</v>
      </c>
      <c r="U10" t="s">
        <v>15</v>
      </c>
      <c r="V10">
        <v>9</v>
      </c>
    </row>
    <row r="11" spans="1:25" x14ac:dyDescent="0.3">
      <c r="A11" s="1">
        <v>46100</v>
      </c>
      <c r="B11" t="s">
        <v>66</v>
      </c>
      <c r="C11" t="s">
        <v>34</v>
      </c>
      <c r="D11" t="s">
        <v>34</v>
      </c>
      <c r="E11">
        <v>2</v>
      </c>
      <c r="F11" s="7">
        <v>80</v>
      </c>
      <c r="G11">
        <v>0</v>
      </c>
      <c r="H11">
        <v>5</v>
      </c>
      <c r="I11" s="7">
        <v>168</v>
      </c>
      <c r="J11" s="7">
        <v>70</v>
      </c>
      <c r="K11" s="7">
        <v>98</v>
      </c>
      <c r="L11" t="s">
        <v>40</v>
      </c>
      <c r="M11" t="s">
        <v>24</v>
      </c>
      <c r="N11" t="s">
        <v>19</v>
      </c>
      <c r="Q11" t="s">
        <v>85</v>
      </c>
      <c r="R11">
        <v>18087.84</v>
      </c>
      <c r="U11" t="s">
        <v>85</v>
      </c>
      <c r="V11">
        <v>127</v>
      </c>
    </row>
    <row r="12" spans="1:25" x14ac:dyDescent="0.3">
      <c r="A12" s="1">
        <v>46099</v>
      </c>
      <c r="B12" t="s">
        <v>69</v>
      </c>
      <c r="C12" t="s">
        <v>47</v>
      </c>
      <c r="D12" t="s">
        <v>16</v>
      </c>
      <c r="E12">
        <v>4</v>
      </c>
      <c r="F12" s="7">
        <v>120</v>
      </c>
      <c r="G12">
        <v>0</v>
      </c>
      <c r="H12">
        <v>5</v>
      </c>
      <c r="I12" s="7">
        <v>504</v>
      </c>
      <c r="J12" s="7">
        <v>280</v>
      </c>
      <c r="K12" s="7">
        <v>224</v>
      </c>
      <c r="L12" t="s">
        <v>23</v>
      </c>
      <c r="M12" t="s">
        <v>24</v>
      </c>
      <c r="N12" t="s">
        <v>25</v>
      </c>
    </row>
    <row r="13" spans="1:25" x14ac:dyDescent="0.3">
      <c r="A13" s="1">
        <v>46095</v>
      </c>
      <c r="B13" t="s">
        <v>41</v>
      </c>
      <c r="C13" t="s">
        <v>42</v>
      </c>
      <c r="D13" t="s">
        <v>16</v>
      </c>
      <c r="E13">
        <v>4</v>
      </c>
      <c r="F13" s="7">
        <v>170</v>
      </c>
      <c r="G13">
        <v>10</v>
      </c>
      <c r="H13">
        <v>5</v>
      </c>
      <c r="I13" s="7">
        <v>642.6</v>
      </c>
      <c r="J13" s="7">
        <v>460</v>
      </c>
      <c r="K13" s="7">
        <v>182.6</v>
      </c>
      <c r="L13" t="s">
        <v>40</v>
      </c>
      <c r="M13" t="s">
        <v>18</v>
      </c>
      <c r="N13" t="s">
        <v>19</v>
      </c>
    </row>
    <row r="14" spans="1:25" x14ac:dyDescent="0.3">
      <c r="A14" s="1">
        <v>46095</v>
      </c>
      <c r="B14" t="s">
        <v>60</v>
      </c>
      <c r="C14" t="s">
        <v>27</v>
      </c>
      <c r="D14" t="s">
        <v>28</v>
      </c>
      <c r="E14">
        <v>2</v>
      </c>
      <c r="F14" s="7">
        <v>160</v>
      </c>
      <c r="G14">
        <v>10</v>
      </c>
      <c r="H14">
        <v>5</v>
      </c>
      <c r="I14" s="7">
        <v>302.39999999999998</v>
      </c>
      <c r="J14" s="7">
        <v>190</v>
      </c>
      <c r="K14" s="7">
        <v>112.4</v>
      </c>
      <c r="L14" t="s">
        <v>40</v>
      </c>
      <c r="M14" t="s">
        <v>35</v>
      </c>
      <c r="N14" t="s">
        <v>19</v>
      </c>
    </row>
    <row r="15" spans="1:25" x14ac:dyDescent="0.3">
      <c r="A15" s="1">
        <v>46093</v>
      </c>
      <c r="B15" t="s">
        <v>67</v>
      </c>
      <c r="C15" t="s">
        <v>32</v>
      </c>
      <c r="D15" t="s">
        <v>16</v>
      </c>
      <c r="E15">
        <v>3</v>
      </c>
      <c r="F15" s="7">
        <v>180</v>
      </c>
      <c r="G15">
        <v>10</v>
      </c>
      <c r="H15">
        <v>5</v>
      </c>
      <c r="I15" s="7">
        <v>510.3</v>
      </c>
      <c r="J15" s="7">
        <v>360</v>
      </c>
      <c r="K15" s="7">
        <v>150.30000000000001</v>
      </c>
      <c r="L15" t="s">
        <v>23</v>
      </c>
      <c r="M15" t="s">
        <v>35</v>
      </c>
      <c r="N15" t="s">
        <v>29</v>
      </c>
    </row>
    <row r="16" spans="1:25" x14ac:dyDescent="0.3">
      <c r="A16" s="1">
        <v>46090</v>
      </c>
      <c r="B16" t="s">
        <v>30</v>
      </c>
      <c r="C16" t="s">
        <v>27</v>
      </c>
      <c r="D16" t="s">
        <v>28</v>
      </c>
      <c r="E16">
        <v>4</v>
      </c>
      <c r="F16" s="7">
        <v>160</v>
      </c>
      <c r="G16">
        <v>10</v>
      </c>
      <c r="H16">
        <v>5</v>
      </c>
      <c r="I16" s="7">
        <v>604.79999999999995</v>
      </c>
      <c r="J16" s="7">
        <v>380</v>
      </c>
      <c r="K16" s="7">
        <v>224.8</v>
      </c>
      <c r="L16" t="s">
        <v>17</v>
      </c>
      <c r="M16" t="s">
        <v>18</v>
      </c>
      <c r="N16" t="s">
        <v>19</v>
      </c>
    </row>
    <row r="17" spans="1:25" x14ac:dyDescent="0.3">
      <c r="A17" s="1">
        <v>46083</v>
      </c>
      <c r="B17" t="s">
        <v>52</v>
      </c>
      <c r="C17" t="s">
        <v>34</v>
      </c>
      <c r="D17" t="s">
        <v>34</v>
      </c>
      <c r="E17">
        <v>4</v>
      </c>
      <c r="F17" s="7">
        <v>80</v>
      </c>
      <c r="G17">
        <v>0</v>
      </c>
      <c r="H17">
        <v>5</v>
      </c>
      <c r="I17" s="7">
        <v>336</v>
      </c>
      <c r="J17" s="7">
        <v>140</v>
      </c>
      <c r="K17" s="7">
        <v>196</v>
      </c>
      <c r="L17" t="s">
        <v>23</v>
      </c>
      <c r="M17" t="s">
        <v>18</v>
      </c>
      <c r="N17" t="s">
        <v>19</v>
      </c>
    </row>
    <row r="18" spans="1:25" x14ac:dyDescent="0.3">
      <c r="A18" s="1">
        <v>46083</v>
      </c>
      <c r="B18" t="s">
        <v>81</v>
      </c>
      <c r="C18" t="s">
        <v>42</v>
      </c>
      <c r="D18" t="s">
        <v>16</v>
      </c>
      <c r="E18">
        <v>4</v>
      </c>
      <c r="F18" s="7">
        <v>170</v>
      </c>
      <c r="G18">
        <v>10</v>
      </c>
      <c r="H18">
        <v>5</v>
      </c>
      <c r="I18" s="7">
        <v>642.6</v>
      </c>
      <c r="J18" s="7">
        <v>460</v>
      </c>
      <c r="K18" s="7">
        <v>182.6</v>
      </c>
      <c r="L18" t="s">
        <v>40</v>
      </c>
      <c r="M18" t="s">
        <v>18</v>
      </c>
      <c r="N18" t="s">
        <v>25</v>
      </c>
    </row>
    <row r="19" spans="1:25" x14ac:dyDescent="0.3">
      <c r="A19" s="1">
        <v>46076</v>
      </c>
      <c r="B19" t="s">
        <v>33</v>
      </c>
      <c r="C19" t="s">
        <v>34</v>
      </c>
      <c r="D19" t="s">
        <v>34</v>
      </c>
      <c r="E19">
        <v>2</v>
      </c>
      <c r="F19" s="7">
        <v>80</v>
      </c>
      <c r="G19">
        <v>5</v>
      </c>
      <c r="H19">
        <v>5</v>
      </c>
      <c r="I19" s="7">
        <v>159.6</v>
      </c>
      <c r="J19" s="7">
        <v>70</v>
      </c>
      <c r="K19" s="7">
        <v>89.6</v>
      </c>
      <c r="L19" t="s">
        <v>23</v>
      </c>
      <c r="M19" t="s">
        <v>35</v>
      </c>
      <c r="N19" t="s">
        <v>29</v>
      </c>
    </row>
    <row r="20" spans="1:25" x14ac:dyDescent="0.3">
      <c r="A20" s="1">
        <v>46076</v>
      </c>
      <c r="B20" t="s">
        <v>54</v>
      </c>
      <c r="C20" t="s">
        <v>15</v>
      </c>
      <c r="D20" t="s">
        <v>16</v>
      </c>
      <c r="E20">
        <v>4</v>
      </c>
      <c r="F20" s="7">
        <v>190</v>
      </c>
      <c r="G20">
        <v>5</v>
      </c>
      <c r="H20">
        <v>5</v>
      </c>
      <c r="I20" s="7">
        <v>758.1</v>
      </c>
      <c r="J20" s="7">
        <v>520</v>
      </c>
      <c r="K20" s="7">
        <v>238.1</v>
      </c>
      <c r="L20" t="s">
        <v>17</v>
      </c>
      <c r="M20" t="s">
        <v>18</v>
      </c>
      <c r="N20" t="s">
        <v>19</v>
      </c>
    </row>
    <row r="21" spans="1:25" x14ac:dyDescent="0.3">
      <c r="A21" s="1">
        <v>46076</v>
      </c>
      <c r="B21" t="s">
        <v>76</v>
      </c>
      <c r="C21" t="s">
        <v>42</v>
      </c>
      <c r="D21" t="s">
        <v>16</v>
      </c>
      <c r="E21">
        <v>2</v>
      </c>
      <c r="F21" s="7">
        <v>170</v>
      </c>
      <c r="G21">
        <v>10</v>
      </c>
      <c r="H21">
        <v>5</v>
      </c>
      <c r="I21" s="7">
        <v>321.3</v>
      </c>
      <c r="J21" s="7">
        <v>230</v>
      </c>
      <c r="K21" s="7">
        <v>91.3</v>
      </c>
      <c r="L21" t="s">
        <v>17</v>
      </c>
      <c r="M21" t="s">
        <v>24</v>
      </c>
      <c r="N21" t="s">
        <v>25</v>
      </c>
    </row>
    <row r="22" spans="1:25" x14ac:dyDescent="0.3">
      <c r="A22" s="1">
        <v>46075</v>
      </c>
      <c r="B22" t="s">
        <v>46</v>
      </c>
      <c r="C22" t="s">
        <v>47</v>
      </c>
      <c r="D22" t="s">
        <v>16</v>
      </c>
      <c r="E22">
        <v>2</v>
      </c>
      <c r="F22" s="7">
        <v>120</v>
      </c>
      <c r="G22">
        <v>0</v>
      </c>
      <c r="H22">
        <v>5</v>
      </c>
      <c r="I22" s="7">
        <v>252</v>
      </c>
      <c r="J22" s="7">
        <v>140</v>
      </c>
      <c r="K22" s="7">
        <v>112</v>
      </c>
      <c r="L22" t="s">
        <v>17</v>
      </c>
      <c r="M22" t="s">
        <v>24</v>
      </c>
      <c r="N22" t="s">
        <v>19</v>
      </c>
    </row>
    <row r="23" spans="1:25" x14ac:dyDescent="0.3">
      <c r="A23" s="1">
        <v>46075</v>
      </c>
      <c r="B23" t="s">
        <v>61</v>
      </c>
      <c r="C23" t="s">
        <v>32</v>
      </c>
      <c r="D23" t="s">
        <v>16</v>
      </c>
      <c r="E23">
        <v>4</v>
      </c>
      <c r="F23" s="7">
        <v>180</v>
      </c>
      <c r="G23">
        <v>10</v>
      </c>
      <c r="H23">
        <v>5</v>
      </c>
      <c r="I23" s="7">
        <v>680.4</v>
      </c>
      <c r="J23" s="7">
        <v>480</v>
      </c>
      <c r="K23" s="7">
        <v>200.4</v>
      </c>
      <c r="L23" t="s">
        <v>23</v>
      </c>
      <c r="M23" t="s">
        <v>18</v>
      </c>
      <c r="N23" t="s">
        <v>25</v>
      </c>
    </row>
    <row r="24" spans="1:25" x14ac:dyDescent="0.3">
      <c r="A24" s="1">
        <v>46072</v>
      </c>
      <c r="B24" t="s">
        <v>55</v>
      </c>
      <c r="C24" t="s">
        <v>47</v>
      </c>
      <c r="D24" t="s">
        <v>16</v>
      </c>
      <c r="E24">
        <v>1</v>
      </c>
      <c r="F24" s="7">
        <v>120</v>
      </c>
      <c r="G24">
        <v>0</v>
      </c>
      <c r="H24">
        <v>5</v>
      </c>
      <c r="I24" s="7">
        <v>126</v>
      </c>
      <c r="J24" s="7">
        <v>70</v>
      </c>
      <c r="K24" s="7">
        <v>56</v>
      </c>
      <c r="L24" t="s">
        <v>17</v>
      </c>
      <c r="M24" t="s">
        <v>35</v>
      </c>
      <c r="N24" t="s">
        <v>19</v>
      </c>
    </row>
    <row r="25" spans="1:25" x14ac:dyDescent="0.3">
      <c r="A25" s="1">
        <v>46070</v>
      </c>
      <c r="B25" t="s">
        <v>49</v>
      </c>
      <c r="C25" t="s">
        <v>47</v>
      </c>
      <c r="D25" t="s">
        <v>16</v>
      </c>
      <c r="E25">
        <v>1</v>
      </c>
      <c r="F25" s="7">
        <v>120</v>
      </c>
      <c r="G25">
        <v>5</v>
      </c>
      <c r="H25">
        <v>5</v>
      </c>
      <c r="I25" s="7">
        <v>119.7</v>
      </c>
      <c r="J25" s="7">
        <v>70</v>
      </c>
      <c r="K25" s="7">
        <v>49.7</v>
      </c>
      <c r="L25" t="s">
        <v>23</v>
      </c>
      <c r="M25" t="s">
        <v>35</v>
      </c>
      <c r="N25" t="s">
        <v>19</v>
      </c>
    </row>
    <row r="26" spans="1:25" x14ac:dyDescent="0.3">
      <c r="A26" s="1">
        <v>46066</v>
      </c>
      <c r="B26" t="s">
        <v>20</v>
      </c>
      <c r="C26" t="s">
        <v>21</v>
      </c>
      <c r="D26" t="s">
        <v>22</v>
      </c>
      <c r="E26">
        <v>4</v>
      </c>
      <c r="F26" s="7">
        <v>90</v>
      </c>
      <c r="G26">
        <v>5</v>
      </c>
      <c r="H26">
        <v>5</v>
      </c>
      <c r="I26" s="7">
        <v>359.1</v>
      </c>
      <c r="J26" s="7">
        <v>180</v>
      </c>
      <c r="K26" s="7">
        <v>179.1</v>
      </c>
      <c r="L26" t="s">
        <v>23</v>
      </c>
      <c r="M26" t="s">
        <v>24</v>
      </c>
      <c r="N26" t="s">
        <v>25</v>
      </c>
    </row>
    <row r="27" spans="1:25" x14ac:dyDescent="0.3">
      <c r="A27" s="1">
        <v>46064</v>
      </c>
      <c r="B27" t="s">
        <v>31</v>
      </c>
      <c r="C27" t="s">
        <v>32</v>
      </c>
      <c r="D27" t="s">
        <v>16</v>
      </c>
      <c r="E27">
        <v>2</v>
      </c>
      <c r="F27" s="7">
        <v>180</v>
      </c>
      <c r="G27">
        <v>5</v>
      </c>
      <c r="H27">
        <v>5</v>
      </c>
      <c r="I27" s="7">
        <v>359.1</v>
      </c>
      <c r="J27" s="7">
        <v>240</v>
      </c>
      <c r="K27" s="7">
        <v>119.1</v>
      </c>
      <c r="L27" t="s">
        <v>17</v>
      </c>
      <c r="M27" t="s">
        <v>24</v>
      </c>
      <c r="N27" t="s">
        <v>29</v>
      </c>
    </row>
    <row r="28" spans="1:25" x14ac:dyDescent="0.3">
      <c r="A28" s="1">
        <v>46063</v>
      </c>
      <c r="B28" t="s">
        <v>53</v>
      </c>
      <c r="C28" t="s">
        <v>42</v>
      </c>
      <c r="D28" t="s">
        <v>16</v>
      </c>
      <c r="E28">
        <v>3</v>
      </c>
      <c r="F28" s="7">
        <v>170</v>
      </c>
      <c r="G28">
        <v>5</v>
      </c>
      <c r="H28">
        <v>5</v>
      </c>
      <c r="I28" s="7">
        <v>508.73</v>
      </c>
      <c r="J28" s="7">
        <v>345</v>
      </c>
      <c r="K28" s="7">
        <v>163.72999999999999</v>
      </c>
      <c r="L28" t="s">
        <v>23</v>
      </c>
      <c r="M28" t="s">
        <v>18</v>
      </c>
      <c r="N28" t="s">
        <v>19</v>
      </c>
    </row>
    <row r="29" spans="1:25" x14ac:dyDescent="0.3">
      <c r="A29" s="1">
        <v>46062</v>
      </c>
      <c r="B29" t="s">
        <v>73</v>
      </c>
      <c r="C29" t="s">
        <v>34</v>
      </c>
      <c r="D29" t="s">
        <v>34</v>
      </c>
      <c r="E29">
        <v>3</v>
      </c>
      <c r="F29" s="7">
        <v>80</v>
      </c>
      <c r="G29">
        <v>10</v>
      </c>
      <c r="H29">
        <v>5</v>
      </c>
      <c r="I29" s="7">
        <v>226.8</v>
      </c>
      <c r="J29" s="7">
        <v>105</v>
      </c>
      <c r="K29" s="7">
        <v>121.8</v>
      </c>
      <c r="L29" t="s">
        <v>23</v>
      </c>
      <c r="M29" t="s">
        <v>18</v>
      </c>
      <c r="N29" t="s">
        <v>25</v>
      </c>
      <c r="P29" s="2"/>
      <c r="Q29" s="19" t="s">
        <v>88</v>
      </c>
      <c r="R29" s="19"/>
      <c r="S29" s="19"/>
      <c r="T29" s="19"/>
      <c r="U29" s="19"/>
      <c r="V29" s="19"/>
      <c r="W29" s="19"/>
      <c r="X29" s="19"/>
      <c r="Y29" s="2"/>
    </row>
    <row r="30" spans="1:25" x14ac:dyDescent="0.3">
      <c r="A30" s="1">
        <v>46059</v>
      </c>
      <c r="B30" t="s">
        <v>48</v>
      </c>
      <c r="C30" t="s">
        <v>42</v>
      </c>
      <c r="D30" t="s">
        <v>16</v>
      </c>
      <c r="E30">
        <v>1</v>
      </c>
      <c r="F30" s="7">
        <v>170</v>
      </c>
      <c r="G30">
        <v>5</v>
      </c>
      <c r="H30">
        <v>5</v>
      </c>
      <c r="I30" s="7">
        <v>169.58</v>
      </c>
      <c r="J30" s="7">
        <v>115</v>
      </c>
      <c r="K30" s="7">
        <v>54.58</v>
      </c>
      <c r="L30" t="s">
        <v>17</v>
      </c>
      <c r="M30" t="s">
        <v>24</v>
      </c>
      <c r="N30" t="s">
        <v>19</v>
      </c>
    </row>
    <row r="31" spans="1:25" x14ac:dyDescent="0.3">
      <c r="A31" s="1">
        <v>46056</v>
      </c>
      <c r="B31" t="s">
        <v>74</v>
      </c>
      <c r="C31" t="s">
        <v>34</v>
      </c>
      <c r="D31" t="s">
        <v>34</v>
      </c>
      <c r="E31">
        <v>2</v>
      </c>
      <c r="F31" s="7">
        <v>80</v>
      </c>
      <c r="G31">
        <v>10</v>
      </c>
      <c r="H31">
        <v>5</v>
      </c>
      <c r="I31" s="7">
        <v>151.19999999999999</v>
      </c>
      <c r="J31" s="7">
        <v>70</v>
      </c>
      <c r="K31" s="7">
        <v>81.2</v>
      </c>
      <c r="L31" t="s">
        <v>17</v>
      </c>
      <c r="M31" t="s">
        <v>35</v>
      </c>
      <c r="N31" t="s">
        <v>19</v>
      </c>
      <c r="Q31" t="s">
        <v>84</v>
      </c>
      <c r="R31" t="s">
        <v>86</v>
      </c>
    </row>
    <row r="32" spans="1:25" x14ac:dyDescent="0.3">
      <c r="A32" s="1">
        <v>46054</v>
      </c>
      <c r="B32" t="s">
        <v>64</v>
      </c>
      <c r="C32" t="s">
        <v>47</v>
      </c>
      <c r="D32" t="s">
        <v>16</v>
      </c>
      <c r="E32">
        <v>1</v>
      </c>
      <c r="F32" s="7">
        <v>120</v>
      </c>
      <c r="G32">
        <v>10</v>
      </c>
      <c r="H32">
        <v>5</v>
      </c>
      <c r="I32" s="7">
        <v>113.4</v>
      </c>
      <c r="J32" s="7">
        <v>70</v>
      </c>
      <c r="K32" s="7">
        <v>43.4</v>
      </c>
      <c r="L32" t="s">
        <v>23</v>
      </c>
      <c r="M32" t="s">
        <v>18</v>
      </c>
      <c r="N32" t="s">
        <v>29</v>
      </c>
      <c r="Q32" t="s">
        <v>89</v>
      </c>
      <c r="R32">
        <v>7191.9800000000005</v>
      </c>
    </row>
    <row r="33" spans="1:18" x14ac:dyDescent="0.3">
      <c r="A33" s="1">
        <v>46053</v>
      </c>
      <c r="B33" t="s">
        <v>26</v>
      </c>
      <c r="C33" t="s">
        <v>27</v>
      </c>
      <c r="D33" t="s">
        <v>28</v>
      </c>
      <c r="E33">
        <v>4</v>
      </c>
      <c r="F33" s="7">
        <v>160</v>
      </c>
      <c r="G33">
        <v>10</v>
      </c>
      <c r="H33">
        <v>5</v>
      </c>
      <c r="I33" s="7">
        <v>604.79999999999995</v>
      </c>
      <c r="J33" s="7">
        <v>380</v>
      </c>
      <c r="K33" s="7">
        <v>224.8</v>
      </c>
      <c r="L33" t="s">
        <v>17</v>
      </c>
      <c r="M33" t="s">
        <v>18</v>
      </c>
      <c r="N33" t="s">
        <v>29</v>
      </c>
      <c r="Q33" t="s">
        <v>90</v>
      </c>
      <c r="R33">
        <v>4305.01</v>
      </c>
    </row>
    <row r="34" spans="1:18" x14ac:dyDescent="0.3">
      <c r="A34" s="1">
        <v>46051</v>
      </c>
      <c r="B34" t="s">
        <v>51</v>
      </c>
      <c r="C34" t="s">
        <v>32</v>
      </c>
      <c r="D34" t="s">
        <v>16</v>
      </c>
      <c r="E34">
        <v>2</v>
      </c>
      <c r="F34" s="7">
        <v>180</v>
      </c>
      <c r="G34">
        <v>10</v>
      </c>
      <c r="H34">
        <v>5</v>
      </c>
      <c r="I34" s="7">
        <v>340.2</v>
      </c>
      <c r="J34" s="7">
        <v>240</v>
      </c>
      <c r="K34" s="7">
        <v>100.2</v>
      </c>
      <c r="L34" t="s">
        <v>23</v>
      </c>
      <c r="M34" t="s">
        <v>24</v>
      </c>
      <c r="N34" t="s">
        <v>19</v>
      </c>
      <c r="Q34" t="s">
        <v>91</v>
      </c>
      <c r="R34">
        <v>6590.85</v>
      </c>
    </row>
    <row r="35" spans="1:18" x14ac:dyDescent="0.3">
      <c r="A35" s="1">
        <v>46050</v>
      </c>
      <c r="B35" t="s">
        <v>72</v>
      </c>
      <c r="C35" t="s">
        <v>21</v>
      </c>
      <c r="D35" t="s">
        <v>22</v>
      </c>
      <c r="E35">
        <v>2</v>
      </c>
      <c r="F35" s="7">
        <v>90</v>
      </c>
      <c r="G35">
        <v>5</v>
      </c>
      <c r="H35">
        <v>5</v>
      </c>
      <c r="I35" s="7">
        <v>179.55</v>
      </c>
      <c r="J35" s="7">
        <v>90</v>
      </c>
      <c r="K35" s="7">
        <v>89.55</v>
      </c>
      <c r="L35" t="s">
        <v>17</v>
      </c>
      <c r="M35" t="s">
        <v>35</v>
      </c>
      <c r="N35" t="s">
        <v>29</v>
      </c>
      <c r="Q35" t="s">
        <v>85</v>
      </c>
      <c r="R35">
        <v>18087.840000000004</v>
      </c>
    </row>
    <row r="36" spans="1:18" x14ac:dyDescent="0.3">
      <c r="A36" s="1">
        <v>46049</v>
      </c>
      <c r="B36" t="s">
        <v>79</v>
      </c>
      <c r="C36" t="s">
        <v>15</v>
      </c>
      <c r="D36" t="s">
        <v>16</v>
      </c>
      <c r="E36">
        <v>2</v>
      </c>
      <c r="F36" s="7">
        <v>190</v>
      </c>
      <c r="G36">
        <v>10</v>
      </c>
      <c r="H36">
        <v>5</v>
      </c>
      <c r="I36" s="7">
        <v>359.1</v>
      </c>
      <c r="J36" s="7">
        <v>260</v>
      </c>
      <c r="K36" s="7">
        <v>99.1</v>
      </c>
      <c r="L36" t="s">
        <v>40</v>
      </c>
      <c r="M36" t="s">
        <v>18</v>
      </c>
      <c r="N36" t="s">
        <v>25</v>
      </c>
    </row>
    <row r="37" spans="1:18" x14ac:dyDescent="0.3">
      <c r="A37" s="1">
        <v>46047</v>
      </c>
      <c r="B37" t="s">
        <v>78</v>
      </c>
      <c r="C37" t="s">
        <v>32</v>
      </c>
      <c r="D37" t="s">
        <v>16</v>
      </c>
      <c r="E37">
        <v>4</v>
      </c>
      <c r="F37" s="7">
        <v>180</v>
      </c>
      <c r="G37">
        <v>5</v>
      </c>
      <c r="H37">
        <v>5</v>
      </c>
      <c r="I37" s="7">
        <v>718.2</v>
      </c>
      <c r="J37" s="7">
        <v>480</v>
      </c>
      <c r="K37" s="7">
        <v>238.2</v>
      </c>
      <c r="L37" t="s">
        <v>40</v>
      </c>
      <c r="M37" t="s">
        <v>35</v>
      </c>
      <c r="N37" t="s">
        <v>25</v>
      </c>
    </row>
    <row r="38" spans="1:18" x14ac:dyDescent="0.3">
      <c r="A38" s="1">
        <v>46043</v>
      </c>
      <c r="B38" t="s">
        <v>45</v>
      </c>
      <c r="C38" t="s">
        <v>27</v>
      </c>
      <c r="D38" t="s">
        <v>28</v>
      </c>
      <c r="E38">
        <v>3</v>
      </c>
      <c r="F38" s="7">
        <v>160</v>
      </c>
      <c r="G38">
        <v>0</v>
      </c>
      <c r="H38">
        <v>5</v>
      </c>
      <c r="I38" s="7">
        <v>504</v>
      </c>
      <c r="J38" s="7">
        <v>285</v>
      </c>
      <c r="K38" s="7">
        <v>219</v>
      </c>
      <c r="L38" t="s">
        <v>17</v>
      </c>
      <c r="M38" t="s">
        <v>24</v>
      </c>
      <c r="N38" t="s">
        <v>25</v>
      </c>
    </row>
    <row r="39" spans="1:18" x14ac:dyDescent="0.3">
      <c r="A39" s="1">
        <v>46042</v>
      </c>
      <c r="B39" t="s">
        <v>43</v>
      </c>
      <c r="C39" t="s">
        <v>21</v>
      </c>
      <c r="D39" t="s">
        <v>22</v>
      </c>
      <c r="E39">
        <v>4</v>
      </c>
      <c r="F39" s="7">
        <v>90</v>
      </c>
      <c r="G39">
        <v>5</v>
      </c>
      <c r="H39">
        <v>5</v>
      </c>
      <c r="I39" s="7">
        <v>359.1</v>
      </c>
      <c r="J39" s="7">
        <v>180</v>
      </c>
      <c r="K39" s="7">
        <v>179.1</v>
      </c>
      <c r="L39" t="s">
        <v>40</v>
      </c>
      <c r="M39" t="s">
        <v>24</v>
      </c>
      <c r="N39" t="s">
        <v>25</v>
      </c>
    </row>
    <row r="40" spans="1:18" x14ac:dyDescent="0.3">
      <c r="A40" s="1">
        <v>46038</v>
      </c>
      <c r="B40" t="s">
        <v>36</v>
      </c>
      <c r="C40" t="s">
        <v>32</v>
      </c>
      <c r="D40" t="s">
        <v>16</v>
      </c>
      <c r="E40">
        <v>2</v>
      </c>
      <c r="F40" s="7">
        <v>180</v>
      </c>
      <c r="G40">
        <v>0</v>
      </c>
      <c r="H40">
        <v>5</v>
      </c>
      <c r="I40" s="7">
        <v>378</v>
      </c>
      <c r="J40" s="7">
        <v>240</v>
      </c>
      <c r="K40" s="7">
        <v>138</v>
      </c>
      <c r="L40" t="s">
        <v>17</v>
      </c>
      <c r="M40" t="s">
        <v>18</v>
      </c>
      <c r="N40" t="s">
        <v>25</v>
      </c>
    </row>
    <row r="41" spans="1:18" x14ac:dyDescent="0.3">
      <c r="A41" s="1">
        <v>46035</v>
      </c>
      <c r="B41" t="s">
        <v>77</v>
      </c>
      <c r="C41" t="s">
        <v>42</v>
      </c>
      <c r="D41" t="s">
        <v>16</v>
      </c>
      <c r="E41">
        <v>1</v>
      </c>
      <c r="F41" s="7">
        <v>170</v>
      </c>
      <c r="G41">
        <v>10</v>
      </c>
      <c r="H41">
        <v>5</v>
      </c>
      <c r="I41" s="7">
        <v>160.65</v>
      </c>
      <c r="J41" s="7">
        <v>115</v>
      </c>
      <c r="K41" s="7">
        <v>45.65</v>
      </c>
      <c r="L41" t="s">
        <v>40</v>
      </c>
      <c r="M41" t="s">
        <v>18</v>
      </c>
      <c r="N41" t="s">
        <v>29</v>
      </c>
    </row>
    <row r="42" spans="1:18" x14ac:dyDescent="0.3">
      <c r="A42" s="1">
        <v>46033</v>
      </c>
      <c r="B42" t="s">
        <v>57</v>
      </c>
      <c r="C42" t="s">
        <v>15</v>
      </c>
      <c r="D42" t="s">
        <v>16</v>
      </c>
      <c r="E42">
        <v>1</v>
      </c>
      <c r="F42" s="7">
        <v>190</v>
      </c>
      <c r="G42">
        <v>5</v>
      </c>
      <c r="H42">
        <v>5</v>
      </c>
      <c r="I42" s="7">
        <v>189.53</v>
      </c>
      <c r="J42" s="7">
        <v>130</v>
      </c>
      <c r="K42" s="7">
        <v>59.53</v>
      </c>
      <c r="L42" t="s">
        <v>23</v>
      </c>
      <c r="M42" t="s">
        <v>24</v>
      </c>
      <c r="N42" t="s">
        <v>19</v>
      </c>
    </row>
    <row r="43" spans="1:18" x14ac:dyDescent="0.3">
      <c r="A43" s="1">
        <v>46033</v>
      </c>
      <c r="B43" t="s">
        <v>62</v>
      </c>
      <c r="C43" t="s">
        <v>21</v>
      </c>
      <c r="D43" t="s">
        <v>22</v>
      </c>
      <c r="E43">
        <v>2</v>
      </c>
      <c r="F43" s="7">
        <v>90</v>
      </c>
      <c r="G43">
        <v>5</v>
      </c>
      <c r="H43">
        <v>5</v>
      </c>
      <c r="I43" s="7">
        <v>179.55</v>
      </c>
      <c r="J43" s="7">
        <v>90</v>
      </c>
      <c r="K43" s="7">
        <v>89.55</v>
      </c>
      <c r="L43" t="s">
        <v>40</v>
      </c>
      <c r="M43" t="s">
        <v>24</v>
      </c>
      <c r="N43" t="s">
        <v>19</v>
      </c>
    </row>
    <row r="44" spans="1:18" x14ac:dyDescent="0.3">
      <c r="A44" s="1">
        <v>46032</v>
      </c>
      <c r="B44" t="s">
        <v>70</v>
      </c>
      <c r="C44" t="s">
        <v>42</v>
      </c>
      <c r="D44" t="s">
        <v>16</v>
      </c>
      <c r="E44">
        <v>4</v>
      </c>
      <c r="F44" s="7">
        <v>170</v>
      </c>
      <c r="G44">
        <v>5</v>
      </c>
      <c r="H44">
        <v>5</v>
      </c>
      <c r="I44" s="7">
        <v>678.3</v>
      </c>
      <c r="J44" s="7">
        <v>460</v>
      </c>
      <c r="K44" s="7">
        <v>218.3</v>
      </c>
      <c r="L44" t="s">
        <v>23</v>
      </c>
      <c r="M44" t="s">
        <v>24</v>
      </c>
      <c r="N44" t="s">
        <v>19</v>
      </c>
    </row>
    <row r="45" spans="1:18" x14ac:dyDescent="0.3">
      <c r="A45" s="1">
        <v>46031</v>
      </c>
      <c r="B45" t="s">
        <v>56</v>
      </c>
      <c r="C45" t="s">
        <v>47</v>
      </c>
      <c r="D45" t="s">
        <v>16</v>
      </c>
      <c r="E45">
        <v>2</v>
      </c>
      <c r="F45" s="7">
        <v>120</v>
      </c>
      <c r="G45">
        <v>10</v>
      </c>
      <c r="H45">
        <v>5</v>
      </c>
      <c r="I45" s="7">
        <v>226.8</v>
      </c>
      <c r="J45" s="7">
        <v>140</v>
      </c>
      <c r="K45" s="7">
        <v>86.8</v>
      </c>
      <c r="L45" t="s">
        <v>17</v>
      </c>
      <c r="M45" t="s">
        <v>24</v>
      </c>
      <c r="N45" t="s">
        <v>29</v>
      </c>
    </row>
    <row r="46" spans="1:18" x14ac:dyDescent="0.3">
      <c r="A46" s="1">
        <v>46030</v>
      </c>
      <c r="B46" t="s">
        <v>65</v>
      </c>
      <c r="C46" t="s">
        <v>27</v>
      </c>
      <c r="D46" t="s">
        <v>28</v>
      </c>
      <c r="E46">
        <v>1</v>
      </c>
      <c r="F46" s="7">
        <v>160</v>
      </c>
      <c r="G46">
        <v>5</v>
      </c>
      <c r="H46">
        <v>5</v>
      </c>
      <c r="I46" s="7">
        <v>159.6</v>
      </c>
      <c r="J46" s="7">
        <v>95</v>
      </c>
      <c r="K46" s="7">
        <v>64.599999999999994</v>
      </c>
      <c r="L46" t="s">
        <v>23</v>
      </c>
      <c r="M46" t="s">
        <v>18</v>
      </c>
      <c r="N46" t="s">
        <v>25</v>
      </c>
    </row>
    <row r="47" spans="1:18" x14ac:dyDescent="0.3">
      <c r="A47" s="1">
        <v>46028</v>
      </c>
      <c r="B47" t="s">
        <v>75</v>
      </c>
      <c r="C47" t="s">
        <v>42</v>
      </c>
      <c r="D47" t="s">
        <v>16</v>
      </c>
      <c r="E47">
        <v>2</v>
      </c>
      <c r="F47" s="7">
        <v>170</v>
      </c>
      <c r="G47">
        <v>0</v>
      </c>
      <c r="H47">
        <v>5</v>
      </c>
      <c r="I47" s="7">
        <v>357</v>
      </c>
      <c r="J47" s="7">
        <v>230</v>
      </c>
      <c r="K47" s="7">
        <v>127</v>
      </c>
      <c r="L47" t="s">
        <v>23</v>
      </c>
      <c r="M47" t="s">
        <v>24</v>
      </c>
      <c r="N47" t="s">
        <v>19</v>
      </c>
    </row>
    <row r="48" spans="1:18" x14ac:dyDescent="0.3">
      <c r="A48" s="1">
        <v>46027</v>
      </c>
      <c r="B48" t="s">
        <v>14</v>
      </c>
      <c r="C48" t="s">
        <v>15</v>
      </c>
      <c r="D48" t="s">
        <v>16</v>
      </c>
      <c r="E48">
        <v>2</v>
      </c>
      <c r="F48" s="7">
        <v>190</v>
      </c>
      <c r="G48">
        <v>0</v>
      </c>
      <c r="H48">
        <v>5</v>
      </c>
      <c r="I48" s="7">
        <v>399</v>
      </c>
      <c r="J48" s="7">
        <v>260</v>
      </c>
      <c r="K48" s="7">
        <v>139</v>
      </c>
      <c r="L48" t="s">
        <v>17</v>
      </c>
      <c r="M48" t="s">
        <v>18</v>
      </c>
      <c r="N48" t="s">
        <v>19</v>
      </c>
    </row>
    <row r="49" spans="1:28" x14ac:dyDescent="0.3">
      <c r="A49" s="1">
        <v>46026</v>
      </c>
      <c r="B49" t="s">
        <v>63</v>
      </c>
      <c r="C49" t="s">
        <v>32</v>
      </c>
      <c r="D49" t="s">
        <v>16</v>
      </c>
      <c r="E49">
        <v>4</v>
      </c>
      <c r="F49" s="7">
        <v>180</v>
      </c>
      <c r="G49">
        <v>5</v>
      </c>
      <c r="H49">
        <v>5</v>
      </c>
      <c r="I49" s="7">
        <v>718.2</v>
      </c>
      <c r="J49" s="7">
        <v>480</v>
      </c>
      <c r="K49" s="7">
        <v>238.2</v>
      </c>
      <c r="L49" t="s">
        <v>23</v>
      </c>
      <c r="M49" t="s">
        <v>35</v>
      </c>
      <c r="N49" t="s">
        <v>29</v>
      </c>
      <c r="P49" s="22" t="s">
        <v>92</v>
      </c>
      <c r="Q49" s="22"/>
      <c r="R49" s="22"/>
      <c r="S49" s="22"/>
      <c r="T49" s="22"/>
      <c r="V49" s="5"/>
      <c r="W49" s="6" t="s">
        <v>93</v>
      </c>
      <c r="X49" s="6"/>
      <c r="Y49" s="6"/>
      <c r="Z49" s="8"/>
      <c r="AA49" s="6"/>
      <c r="AB49" s="6"/>
    </row>
    <row r="50" spans="1:28" x14ac:dyDescent="0.3">
      <c r="A50" s="1">
        <v>46025</v>
      </c>
      <c r="B50" t="s">
        <v>39</v>
      </c>
      <c r="C50" t="s">
        <v>34</v>
      </c>
      <c r="D50" t="s">
        <v>34</v>
      </c>
      <c r="E50">
        <v>4</v>
      </c>
      <c r="F50" s="7">
        <v>80</v>
      </c>
      <c r="G50">
        <v>10</v>
      </c>
      <c r="H50">
        <v>5</v>
      </c>
      <c r="I50" s="7">
        <v>302.39999999999998</v>
      </c>
      <c r="J50" s="7">
        <v>140</v>
      </c>
      <c r="K50" s="7">
        <v>162.4</v>
      </c>
      <c r="L50" t="s">
        <v>40</v>
      </c>
      <c r="M50" t="s">
        <v>18</v>
      </c>
      <c r="N50" t="s">
        <v>25</v>
      </c>
    </row>
    <row r="51" spans="1:28" x14ac:dyDescent="0.3">
      <c r="A51" s="1">
        <v>46024</v>
      </c>
      <c r="B51" t="s">
        <v>80</v>
      </c>
      <c r="C51" t="s">
        <v>21</v>
      </c>
      <c r="D51" t="s">
        <v>22</v>
      </c>
      <c r="E51">
        <v>4</v>
      </c>
      <c r="F51" s="7">
        <v>90</v>
      </c>
      <c r="G51">
        <v>0</v>
      </c>
      <c r="H51">
        <v>5</v>
      </c>
      <c r="I51" s="7">
        <v>378</v>
      </c>
      <c r="J51" s="7">
        <v>180</v>
      </c>
      <c r="K51" s="7">
        <v>198</v>
      </c>
      <c r="L51" t="s">
        <v>17</v>
      </c>
      <c r="M51" t="s">
        <v>24</v>
      </c>
      <c r="N51" t="s">
        <v>19</v>
      </c>
      <c r="P51" t="s">
        <v>84</v>
      </c>
      <c r="Q51" t="s">
        <v>86</v>
      </c>
      <c r="V51" t="s">
        <v>84</v>
      </c>
      <c r="W51" t="s">
        <v>86</v>
      </c>
    </row>
    <row r="52" spans="1:28" x14ac:dyDescent="0.3">
      <c r="P52" t="s">
        <v>22</v>
      </c>
      <c r="Q52">
        <v>1625.4</v>
      </c>
      <c r="V52" t="s">
        <v>23</v>
      </c>
      <c r="W52">
        <v>7382.5600000000013</v>
      </c>
    </row>
    <row r="53" spans="1:28" x14ac:dyDescent="0.3">
      <c r="P53" t="s">
        <v>16</v>
      </c>
      <c r="Q53">
        <v>12329.639999999998</v>
      </c>
      <c r="V53" t="s">
        <v>40</v>
      </c>
      <c r="W53">
        <v>4130.7</v>
      </c>
    </row>
    <row r="54" spans="1:28" x14ac:dyDescent="0.3">
      <c r="F54"/>
      <c r="P54" t="s">
        <v>28</v>
      </c>
      <c r="Q54">
        <v>2788.7999999999997</v>
      </c>
      <c r="V54" t="s">
        <v>17</v>
      </c>
      <c r="W54">
        <v>6574.58</v>
      </c>
    </row>
    <row r="55" spans="1:28" x14ac:dyDescent="0.3">
      <c r="F55"/>
      <c r="P55" t="s">
        <v>34</v>
      </c>
      <c r="Q55">
        <v>1344</v>
      </c>
      <c r="V55" t="s">
        <v>85</v>
      </c>
      <c r="W55">
        <v>18087.840000000004</v>
      </c>
    </row>
    <row r="56" spans="1:28" x14ac:dyDescent="0.3">
      <c r="F56"/>
      <c r="P56" t="s">
        <v>85</v>
      </c>
      <c r="Q56">
        <v>18087.839999999997</v>
      </c>
    </row>
    <row r="57" spans="1:28" x14ac:dyDescent="0.3">
      <c r="A57" s="3"/>
      <c r="F57"/>
    </row>
    <row r="58" spans="1:28" x14ac:dyDescent="0.3">
      <c r="A58" s="3" t="s">
        <v>98</v>
      </c>
      <c r="B58" s="9">
        <f>SUM(I2:I51)</f>
        <v>18087.840000000004</v>
      </c>
      <c r="F58"/>
    </row>
    <row r="59" spans="1:28" x14ac:dyDescent="0.3">
      <c r="A59" s="3" t="s">
        <v>97</v>
      </c>
      <c r="B59" s="3">
        <v>50</v>
      </c>
      <c r="F59"/>
    </row>
    <row r="60" spans="1:28" x14ac:dyDescent="0.3">
      <c r="A60" s="3" t="s">
        <v>99</v>
      </c>
      <c r="B60" s="9">
        <f>B58/B59</f>
        <v>361.75680000000006</v>
      </c>
      <c r="F60"/>
    </row>
    <row r="61" spans="1:28" x14ac:dyDescent="0.3">
      <c r="A61" s="3" t="s">
        <v>100</v>
      </c>
      <c r="B61" s="9">
        <f>SUM(K2:K51)</f>
        <v>6727.84</v>
      </c>
      <c r="F61"/>
    </row>
    <row r="62" spans="1:28" x14ac:dyDescent="0.3">
      <c r="F62"/>
    </row>
    <row r="63" spans="1:28" x14ac:dyDescent="0.3">
      <c r="F63"/>
    </row>
    <row r="64" spans="1:28" x14ac:dyDescent="0.3">
      <c r="F64"/>
    </row>
    <row r="65" spans="6:27" x14ac:dyDescent="0.3">
      <c r="F65"/>
    </row>
    <row r="66" spans="6:27" x14ac:dyDescent="0.3">
      <c r="F66"/>
    </row>
    <row r="67" spans="6:27" x14ac:dyDescent="0.3">
      <c r="F67"/>
    </row>
    <row r="68" spans="6:27" x14ac:dyDescent="0.3">
      <c r="F68"/>
    </row>
    <row r="69" spans="6:27" x14ac:dyDescent="0.3">
      <c r="F69"/>
    </row>
    <row r="70" spans="6:27" x14ac:dyDescent="0.3">
      <c r="F70"/>
    </row>
    <row r="71" spans="6:27" x14ac:dyDescent="0.3">
      <c r="F71"/>
    </row>
    <row r="73" spans="6:27" x14ac:dyDescent="0.3">
      <c r="P73" s="20" t="s">
        <v>95</v>
      </c>
      <c r="Q73" s="20"/>
      <c r="R73" s="20"/>
      <c r="S73" s="20"/>
      <c r="T73" s="20"/>
      <c r="U73" s="20"/>
      <c r="W73" s="21" t="s">
        <v>96</v>
      </c>
      <c r="X73" s="21"/>
      <c r="Y73" s="21"/>
      <c r="Z73" s="21"/>
      <c r="AA73" s="21"/>
    </row>
    <row r="75" spans="6:27" x14ac:dyDescent="0.3">
      <c r="Q75" t="s">
        <v>84</v>
      </c>
      <c r="R75" t="s">
        <v>94</v>
      </c>
      <c r="X75" s="12" t="s">
        <v>84</v>
      </c>
      <c r="Y75" t="s">
        <v>86</v>
      </c>
    </row>
    <row r="76" spans="6:27" x14ac:dyDescent="0.3">
      <c r="Q76" t="s">
        <v>18</v>
      </c>
      <c r="R76">
        <v>2664.58</v>
      </c>
      <c r="X76" s="13" t="s">
        <v>32</v>
      </c>
      <c r="Y76">
        <v>4961.25</v>
      </c>
    </row>
    <row r="77" spans="6:27" x14ac:dyDescent="0.3">
      <c r="Q77" t="s">
        <v>35</v>
      </c>
      <c r="R77">
        <v>1787.1</v>
      </c>
      <c r="X77" s="13" t="s">
        <v>42</v>
      </c>
      <c r="Y77">
        <v>4194.76</v>
      </c>
    </row>
    <row r="78" spans="6:27" x14ac:dyDescent="0.3">
      <c r="Q78" t="s">
        <v>24</v>
      </c>
      <c r="R78">
        <v>2276.16</v>
      </c>
      <c r="X78" s="13" t="s">
        <v>27</v>
      </c>
      <c r="Y78">
        <v>2788.7999999999997</v>
      </c>
    </row>
    <row r="79" spans="6:27" x14ac:dyDescent="0.3">
      <c r="Q79" t="s">
        <v>85</v>
      </c>
      <c r="R79">
        <v>6727.84</v>
      </c>
      <c r="X79" s="13" t="s">
        <v>15</v>
      </c>
      <c r="Y79">
        <v>1705.73</v>
      </c>
    </row>
    <row r="80" spans="6:27" x14ac:dyDescent="0.3">
      <c r="X80" s="13" t="s">
        <v>21</v>
      </c>
      <c r="Y80">
        <v>1625.4</v>
      </c>
    </row>
    <row r="81" spans="24:25" x14ac:dyDescent="0.3">
      <c r="X81" s="13" t="s">
        <v>47</v>
      </c>
      <c r="Y81">
        <v>1467.9</v>
      </c>
    </row>
    <row r="82" spans="24:25" x14ac:dyDescent="0.3">
      <c r="X82" s="13" t="s">
        <v>34</v>
      </c>
      <c r="Y82">
        <v>1344</v>
      </c>
    </row>
    <row r="83" spans="24:25" x14ac:dyDescent="0.3">
      <c r="X83" s="13" t="s">
        <v>85</v>
      </c>
      <c r="Y83">
        <v>18087.84</v>
      </c>
    </row>
  </sheetData>
  <mergeCells count="7">
    <mergeCell ref="Q29:X29"/>
    <mergeCell ref="P73:U73"/>
    <mergeCell ref="W73:AA73"/>
    <mergeCell ref="P49:T49"/>
    <mergeCell ref="Q1:V1"/>
    <mergeCell ref="Q2:R2"/>
    <mergeCell ref="U2:V2"/>
  </mergeCells>
  <conditionalFormatting sqref="R3">
    <cfRule type="colorScale" priority="7">
      <colorScale>
        <cfvo type="min"/>
        <cfvo type="max"/>
        <color rgb="FFFCFCFF"/>
        <color rgb="FF63BE7B"/>
      </colorScale>
    </cfRule>
  </conditionalFormatting>
  <conditionalFormatting pivot="1" sqref="V4:V10">
    <cfRule type="colorScale" priority="4">
      <colorScale>
        <cfvo type="min"/>
        <cfvo type="max"/>
        <color rgb="FFFCFCFF"/>
        <color rgb="FFF8696B"/>
      </colorScale>
    </cfRule>
  </conditionalFormatting>
  <conditionalFormatting pivot="1" sqref="R4:R10">
    <cfRule type="colorScale" priority="5">
      <colorScale>
        <cfvo type="min"/>
        <cfvo type="max"/>
        <color rgb="FFFCFCFF"/>
        <color rgb="FFF8696B"/>
      </colorScale>
    </cfRule>
  </conditionalFormatting>
  <conditionalFormatting sqref="Y75">
    <cfRule type="top10" dxfId="4" priority="2" rank="5"/>
  </conditionalFormatting>
  <conditionalFormatting pivot="1" sqref="Y76:Y82">
    <cfRule type="top10" dxfId="3" priority="1" rank="5"/>
  </conditionalFormatting>
  <pageMargins left="0.75" right="0.75" top="1" bottom="1" header="0.5" footer="0.5"/>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6D046-B10C-4E52-AB7D-B329FAAE850E}">
  <sheetPr>
    <pageSetUpPr fitToPage="1"/>
  </sheetPr>
  <dimension ref="A1:O9"/>
  <sheetViews>
    <sheetView showGridLines="0" zoomScale="37" zoomScaleNormal="157" workbookViewId="0">
      <selection activeCell="AD26" sqref="AD26"/>
    </sheetView>
  </sheetViews>
  <sheetFormatPr defaultRowHeight="14.4" x14ac:dyDescent="0.3"/>
  <cols>
    <col min="15" max="15" width="8.88671875" customWidth="1"/>
  </cols>
  <sheetData>
    <row r="1" spans="1:15" ht="14.4" customHeight="1" x14ac:dyDescent="0.3">
      <c r="A1" s="17" t="s">
        <v>103</v>
      </c>
      <c r="B1" s="18"/>
      <c r="C1" s="18"/>
      <c r="D1" s="18"/>
      <c r="E1" s="18"/>
      <c r="F1" s="18"/>
      <c r="G1" s="18"/>
      <c r="H1" s="18"/>
      <c r="I1" s="18"/>
      <c r="J1" s="18"/>
      <c r="K1" s="18"/>
      <c r="L1" s="18"/>
      <c r="M1" s="18"/>
      <c r="N1" s="18"/>
      <c r="O1" s="18"/>
    </row>
    <row r="2" spans="1:15" x14ac:dyDescent="0.3">
      <c r="A2" s="18"/>
      <c r="B2" s="18"/>
      <c r="C2" s="18"/>
      <c r="D2" s="18"/>
      <c r="E2" s="18"/>
      <c r="F2" s="18"/>
      <c r="G2" s="18"/>
      <c r="H2" s="18"/>
      <c r="I2" s="18"/>
      <c r="J2" s="18"/>
      <c r="K2" s="18"/>
      <c r="L2" s="18"/>
      <c r="M2" s="18"/>
      <c r="N2" s="18"/>
      <c r="O2" s="18"/>
    </row>
    <row r="4" spans="1:15" ht="14.4" customHeight="1" x14ac:dyDescent="0.3">
      <c r="E4" s="14"/>
      <c r="F4" s="14"/>
      <c r="G4" s="14"/>
      <c r="I4" s="16"/>
      <c r="J4" s="16"/>
      <c r="K4" s="16"/>
    </row>
    <row r="5" spans="1:15" x14ac:dyDescent="0.3">
      <c r="E5" s="14"/>
      <c r="F5" s="14"/>
      <c r="G5" s="14"/>
      <c r="I5" s="16"/>
      <c r="J5" s="16"/>
      <c r="K5" s="16"/>
    </row>
    <row r="6" spans="1:15" ht="14.4" customHeight="1" x14ac:dyDescent="0.3">
      <c r="E6" s="15"/>
      <c r="F6" s="15"/>
      <c r="G6" s="15"/>
      <c r="I6" s="11"/>
      <c r="J6" s="11"/>
      <c r="K6" s="11"/>
    </row>
    <row r="7" spans="1:15" ht="15" customHeight="1" x14ac:dyDescent="0.3">
      <c r="E7" s="15"/>
      <c r="F7" s="15"/>
      <c r="G7" s="15"/>
      <c r="I7" s="11"/>
      <c r="J7" s="11"/>
      <c r="K7" s="11"/>
    </row>
    <row r="9" spans="1:15" x14ac:dyDescent="0.3">
      <c r="F9" s="10"/>
    </row>
  </sheetData>
  <mergeCells count="4">
    <mergeCell ref="E4:G5"/>
    <mergeCell ref="E6:G7"/>
    <mergeCell ref="I4:K5"/>
    <mergeCell ref="A1:O2"/>
  </mergeCells>
  <pageMargins left="0.7" right="0.7" top="0.75" bottom="0.75" header="0.3" footer="0.3"/>
  <pageSetup paperSize="6" scale="3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Archana N</cp:lastModifiedBy>
  <cp:lastPrinted>2026-08-02T08:33:29Z</cp:lastPrinted>
  <dcterms:created xsi:type="dcterms:W3CDTF">2026-08-01T07:37:20Z</dcterms:created>
  <dcterms:modified xsi:type="dcterms:W3CDTF">2026-08-07T04:16:35Z</dcterms:modified>
</cp:coreProperties>
</file>