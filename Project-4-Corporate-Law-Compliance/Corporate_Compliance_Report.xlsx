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8e74d99ab438df9d/ドキュメント/Desktop/"/>
    </mc:Choice>
  </mc:AlternateContent>
  <xr:revisionPtr revIDLastSave="1109" documentId="8_{791954FB-2363-44B5-B742-2CE5D44AA455}" xr6:coauthVersionLast="47" xr6:coauthVersionMax="47" xr10:uidLastSave="{EB38048A-F5C7-49B1-8A4D-25F8CAA091C6}"/>
  <bookViews>
    <workbookView xWindow="-108" yWindow="-108" windowWidth="23256" windowHeight="12456" activeTab="2" xr2:uid="{A5F0402E-052A-4AF8-BF40-AFBC2B8F06A3}"/>
  </bookViews>
  <sheets>
    <sheet name="Company Overview" sheetId="1" r:id="rId1"/>
    <sheet name="Compliance Tracker" sheetId="2" r:id="rId2"/>
    <sheet name="Dashboard" sheetId="3" r:id="rId3"/>
  </sheets>
  <definedNames>
    <definedName name="Slicer_Frequency">#N/A</definedName>
    <definedName name="Slicer_Responsible_Department">#N/A</definedName>
    <definedName name="Slicer_Status">#N/A</definedName>
  </definedNames>
  <calcPr calcId="191029"/>
  <pivotCaches>
    <pivotCache cacheId="0"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2" l="1"/>
  <c r="G17" i="2"/>
  <c r="G18" i="2"/>
  <c r="G19" i="2"/>
  <c r="G21" i="2"/>
  <c r="G20" i="2" l="1"/>
</calcChain>
</file>

<file path=xl/sharedStrings.xml><?xml version="1.0" encoding="utf-8"?>
<sst xmlns="http://schemas.openxmlformats.org/spreadsheetml/2006/main" count="190" uniqueCount="126">
  <si>
    <t>Particulars</t>
  </si>
  <si>
    <t>Details</t>
  </si>
  <si>
    <t>Company Name</t>
  </si>
  <si>
    <t>Industry</t>
  </si>
  <si>
    <t>Company Type</t>
  </si>
  <si>
    <t>Financial Year</t>
  </si>
  <si>
    <t>Applicable Law</t>
  </si>
  <si>
    <t>Headquarters</t>
  </si>
  <si>
    <t>Founded</t>
  </si>
  <si>
    <t>Stock Exchange</t>
  </si>
  <si>
    <t>Infosys Limitted</t>
  </si>
  <si>
    <t>Information Technology Services &amp; Counsulting</t>
  </si>
  <si>
    <t>Public Limitted Company</t>
  </si>
  <si>
    <t>Bengaluru, Karnataka, India</t>
  </si>
  <si>
    <t>Companies Act, 2013</t>
  </si>
  <si>
    <t>NSE &amp; BSE(India)</t>
  </si>
  <si>
    <t>FY 2025</t>
  </si>
  <si>
    <t>PROJECT SCOPE</t>
  </si>
  <si>
    <t>PROJECT OBJECTIVE</t>
  </si>
  <si>
    <t>To understand and present the key corporate compliance requirements applicable to a listed company under the Companies Act, 2013 by developing a Compliance Tracker and Dashboard in Microsoft Excel.</t>
  </si>
  <si>
    <t>COMPANY DESCRIPTION</t>
  </si>
  <si>
    <t>Infosys Limited is one of India's leading multinational information technology and consulting companies. The company provides digital transformation, cloud computing, artificial intelligence, engineering, and business consulting services to clients across more than 50 countries. Known for its strong corporate governance and compliance practices, Infosys publishes detailed annual reports and follows the statutory requirements prescribed under the Companies Act, 2013 and SEBI regulations</t>
  </si>
  <si>
    <t>This project presents a sample Corporate Law Compliance Tracker for educational purposes. It includes a compliance calendar, KPI dashboard, compliance status analysis, and a short case study based on the Companies Act, 2013.</t>
  </si>
  <si>
    <t>TOOLS USED</t>
  </si>
  <si>
    <t>&gt; Microsoft Excel 2021</t>
  </si>
  <si>
    <t>&gt; Companies Act, 2013</t>
  </si>
  <si>
    <t>&gt; Infosys Annual Report (for company background)</t>
  </si>
  <si>
    <t>&gt; Excel Tables</t>
  </si>
  <si>
    <t>&gt; Pivot Tables</t>
  </si>
  <si>
    <t>&gt; Pivot Charts</t>
  </si>
  <si>
    <t>&gt; Slicers</t>
  </si>
  <si>
    <t>&gt; Dashboard Design</t>
  </si>
  <si>
    <t>SOURCE</t>
  </si>
  <si>
    <r>
      <t xml:space="preserve">Company Background      : </t>
    </r>
    <r>
      <rPr>
        <sz val="11"/>
        <color theme="1"/>
        <rFont val="Calibri"/>
        <family val="2"/>
        <scheme val="minor"/>
      </rPr>
      <t>Infosys Limited Annual Report FY2025</t>
    </r>
  </si>
  <si>
    <t>DISCLAIMER</t>
  </si>
  <si>
    <t>This project has been prepared solely for educational and portfolio purposes. The compliance tracker, dashboard, and case study are illustrative examples created by the author and do not represent the actual statutory compliance records of Infosys Limited.</t>
  </si>
  <si>
    <r>
      <t xml:space="preserve">Legal Reference                : </t>
    </r>
    <r>
      <rPr>
        <sz val="11"/>
        <color theme="1"/>
        <rFont val="Calibri"/>
        <family val="2"/>
        <scheme val="minor"/>
      </rPr>
      <t>Companies Act, 2013</t>
    </r>
  </si>
  <si>
    <r>
      <t xml:space="preserve">Purpose                              : </t>
    </r>
    <r>
      <rPr>
        <sz val="11"/>
        <color theme="1"/>
        <rFont val="Calibri"/>
        <family val="2"/>
        <scheme val="minor"/>
      </rPr>
      <t>Educational and Portfolio Project</t>
    </r>
  </si>
  <si>
    <t>COMPANY OVERVIEW- INFOSYS LIMITTED</t>
  </si>
  <si>
    <t>Compliance ID</t>
  </si>
  <si>
    <t>Compliance Requirement</t>
  </si>
  <si>
    <t>Due Date</t>
  </si>
  <si>
    <t>Frequency</t>
  </si>
  <si>
    <t>Responsible Department</t>
  </si>
  <si>
    <t>Status</t>
  </si>
  <si>
    <t>Completion Date</t>
  </si>
  <si>
    <t>Remarks</t>
  </si>
  <si>
    <t>C001</t>
  </si>
  <si>
    <t>C002</t>
  </si>
  <si>
    <t>C003</t>
  </si>
  <si>
    <t>C004</t>
  </si>
  <si>
    <t>C005</t>
  </si>
  <si>
    <t>C006</t>
  </si>
  <si>
    <t>C007</t>
  </si>
  <si>
    <t>C008</t>
  </si>
  <si>
    <t>C009</t>
  </si>
  <si>
    <t>C010</t>
  </si>
  <si>
    <t>C011</t>
  </si>
  <si>
    <t>C012</t>
  </si>
  <si>
    <t>Board Meeting</t>
  </si>
  <si>
    <t>Annual General Meeting(AGM)</t>
  </si>
  <si>
    <t>Filing of Financial Statements</t>
  </si>
  <si>
    <t>DIR-3 KYC</t>
  </si>
  <si>
    <t>DPT-3 Return</t>
  </si>
  <si>
    <t>MSME Form-1</t>
  </si>
  <si>
    <t>MBP-1 Disclosure</t>
  </si>
  <si>
    <t>Auditor Appointment</t>
  </si>
  <si>
    <t>Maintainance of Statutory Registers</t>
  </si>
  <si>
    <t>Sec. 173</t>
  </si>
  <si>
    <t>Sec. 96</t>
  </si>
  <si>
    <t>Relevant Section/Form</t>
  </si>
  <si>
    <t>Form AOC-4</t>
  </si>
  <si>
    <t>Annual Return Filing</t>
  </si>
  <si>
    <t>Form MGT-7</t>
  </si>
  <si>
    <t>Rule 12A</t>
  </si>
  <si>
    <t>Form DPT-3</t>
  </si>
  <si>
    <t>MSME Rules</t>
  </si>
  <si>
    <t>Sec. 139</t>
  </si>
  <si>
    <t>Sec. 184</t>
  </si>
  <si>
    <t>Companies Act,2013</t>
  </si>
  <si>
    <t>Quarterly</t>
  </si>
  <si>
    <t>Annual</t>
  </si>
  <si>
    <t>Half-Yearly</t>
  </si>
  <si>
    <t>As Applicable</t>
  </si>
  <si>
    <t>Ongoing</t>
  </si>
  <si>
    <t>Company Secretary</t>
  </si>
  <si>
    <t>Board of Directors</t>
  </si>
  <si>
    <t>Finance Team</t>
  </si>
  <si>
    <t>Directors</t>
  </si>
  <si>
    <t>Completed</t>
  </si>
  <si>
    <t>Pending</t>
  </si>
  <si>
    <t>In Progress</t>
  </si>
  <si>
    <t>Regular updates</t>
  </si>
  <si>
    <t>Ratified</t>
  </si>
  <si>
    <t>Received</t>
  </si>
  <si>
    <t>Filed</t>
  </si>
  <si>
    <t>Submitted</t>
  </si>
  <si>
    <t>Filed Sucessfully</t>
  </si>
  <si>
    <t>Awaiting Filing</t>
  </si>
  <si>
    <t>To be Filed</t>
  </si>
  <si>
    <t>AGM held Sucessfully</t>
  </si>
  <si>
    <t>Scheduled</t>
  </si>
  <si>
    <t>Conducted on time</t>
  </si>
  <si>
    <t>KPI</t>
  </si>
  <si>
    <t>Values</t>
  </si>
  <si>
    <t>Completion Rate</t>
  </si>
  <si>
    <t>Annual Compliances</t>
  </si>
  <si>
    <t>Total Compliances</t>
  </si>
  <si>
    <t>Row Labels</t>
  </si>
  <si>
    <t>Grand Total</t>
  </si>
  <si>
    <t>Count of Compliance Requirement</t>
  </si>
  <si>
    <t>Apr</t>
  </si>
  <si>
    <t>Jun</t>
  </si>
  <si>
    <t>Jul</t>
  </si>
  <si>
    <t>Sep</t>
  </si>
  <si>
    <t>Oct</t>
  </si>
  <si>
    <t>Nov</t>
  </si>
  <si>
    <t>Dec</t>
  </si>
  <si>
    <t>Count of Compliance ID</t>
  </si>
  <si>
    <t>Column Labels</t>
  </si>
  <si>
    <t>Compliance frequency</t>
  </si>
  <si>
    <t>Compliance Status</t>
  </si>
  <si>
    <t>Monthly Dues</t>
  </si>
  <si>
    <t>Status by Department</t>
  </si>
  <si>
    <t>CORPORATE LAW COMPLIANCE DASHBOARD</t>
  </si>
  <si>
    <t>Infosys Limitted (Portfolio Project) | FY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</si>
</sst>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s>
  <fills count="6">
    <fill>
      <patternFill patternType="none"/>
    </fill>
    <fill>
      <patternFill patternType="gray125"/>
    </fill>
    <fill>
      <patternFill patternType="solid">
        <fgColor theme="7"/>
        <bgColor indexed="64"/>
      </patternFill>
    </fill>
    <fill>
      <patternFill patternType="solid">
        <fgColor theme="0"/>
        <bgColor indexed="64"/>
      </patternFill>
    </fill>
    <fill>
      <patternFill patternType="solid">
        <fgColor theme="9" tint="0.59999389629810485"/>
        <bgColor indexed="64"/>
      </patternFill>
    </fill>
    <fill>
      <patternFill patternType="solid">
        <fgColor theme="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4">
    <xf numFmtId="0" fontId="0" fillId="0" borderId="0" xfId="0"/>
    <xf numFmtId="0" fontId="0" fillId="0" borderId="0" xfId="0" applyAlignment="1">
      <alignment vertical="top"/>
    </xf>
    <xf numFmtId="0" fontId="0" fillId="0" borderId="0" xfId="0" applyAlignment="1">
      <alignment horizontal="left"/>
    </xf>
    <xf numFmtId="0" fontId="0" fillId="0" borderId="0" xfId="0" applyAlignment="1">
      <alignment vertical="top" wrapText="1"/>
    </xf>
    <xf numFmtId="0" fontId="0" fillId="0" borderId="0" xfId="0" applyAlignment="1">
      <alignment horizontal="left" vertical="center" wrapText="1"/>
    </xf>
    <xf numFmtId="0" fontId="0" fillId="0" borderId="0" xfId="0" applyAlignment="1">
      <alignment wrapText="1"/>
    </xf>
    <xf numFmtId="0" fontId="0" fillId="0" borderId="5" xfId="0" applyBorder="1"/>
    <xf numFmtId="0" fontId="0" fillId="0" borderId="6" xfId="0" applyBorder="1"/>
    <xf numFmtId="0" fontId="0" fillId="0" borderId="0" xfId="0" applyAlignment="1">
      <alignment vertical="center"/>
    </xf>
    <xf numFmtId="0" fontId="1" fillId="4" borderId="8" xfId="0" applyFont="1" applyFill="1" applyBorder="1"/>
    <xf numFmtId="0" fontId="3" fillId="3" borderId="0" xfId="0" applyFont="1" applyFill="1" applyAlignment="1">
      <alignment horizontal="center" vertical="center" wrapText="1"/>
    </xf>
    <xf numFmtId="0" fontId="0" fillId="3" borderId="0" xfId="0" applyFill="1"/>
    <xf numFmtId="164" fontId="0" fillId="0" borderId="0" xfId="0" applyNumberFormat="1"/>
    <xf numFmtId="164" fontId="0" fillId="0" borderId="0" xfId="0" applyNumberFormat="1" applyAlignment="1">
      <alignment vertical="top"/>
    </xf>
    <xf numFmtId="0" fontId="5" fillId="4" borderId="11" xfId="0" applyFont="1" applyFill="1" applyBorder="1" applyAlignment="1">
      <alignment vertical="center" wrapText="1"/>
    </xf>
    <xf numFmtId="164" fontId="5" fillId="4" borderId="11" xfId="0" applyNumberFormat="1" applyFont="1" applyFill="1" applyBorder="1" applyAlignment="1">
      <alignment vertical="center" wrapText="1"/>
    </xf>
    <xf numFmtId="0" fontId="1" fillId="4" borderId="1" xfId="0" applyFont="1" applyFill="1" applyBorder="1" applyAlignment="1">
      <alignment horizontal="center"/>
    </xf>
    <xf numFmtId="0" fontId="0" fillId="0" borderId="12" xfId="0" applyBorder="1"/>
    <xf numFmtId="0" fontId="0" fillId="0" borderId="13" xfId="0" applyBorder="1"/>
    <xf numFmtId="0" fontId="0" fillId="0" borderId="14" xfId="0" applyBorder="1"/>
    <xf numFmtId="0" fontId="0" fillId="0" borderId="15" xfId="0" applyBorder="1" applyAlignment="1">
      <alignment horizontal="center"/>
    </xf>
    <xf numFmtId="0" fontId="0" fillId="0" borderId="4" xfId="0" applyBorder="1" applyAlignment="1">
      <alignment horizontal="center"/>
    </xf>
    <xf numFmtId="10" fontId="0" fillId="0" borderId="4" xfId="0" applyNumberFormat="1" applyBorder="1" applyAlignment="1">
      <alignment horizontal="center"/>
    </xf>
    <xf numFmtId="0" fontId="0" fillId="0" borderId="11" xfId="0" applyBorder="1" applyAlignment="1">
      <alignment horizontal="center"/>
    </xf>
    <xf numFmtId="0" fontId="0" fillId="0" borderId="0" xfId="0" pivotButton="1"/>
    <xf numFmtId="0" fontId="0" fillId="0" borderId="0" xfId="0" applyAlignment="1">
      <alignment horizontal="center"/>
    </xf>
    <xf numFmtId="0" fontId="0" fillId="0" borderId="0" xfId="0" applyAlignment="1">
      <alignment horizontal="right"/>
    </xf>
    <xf numFmtId="0" fontId="0" fillId="0" borderId="0" xfId="0" applyAlignment="1">
      <alignment horizontal="right" wrapText="1"/>
    </xf>
    <xf numFmtId="0" fontId="0" fillId="0" borderId="0" xfId="0" pivotButton="1" applyAlignment="1">
      <alignment vertical="center"/>
    </xf>
    <xf numFmtId="0" fontId="0" fillId="0" borderId="0" xfId="0" pivotButton="1" applyAlignment="1">
      <alignment wrapText="1"/>
    </xf>
    <xf numFmtId="0" fontId="0" fillId="0" borderId="0" xfId="0" pivotButton="1" applyAlignment="1">
      <alignment horizontal="left" vertical="center" wrapText="1"/>
    </xf>
    <xf numFmtId="0" fontId="3" fillId="2" borderId="0" xfId="0" applyFont="1" applyFill="1" applyAlignment="1">
      <alignment horizontal="center" vertical="top" wrapText="1"/>
    </xf>
    <xf numFmtId="0" fontId="0" fillId="0" borderId="0" xfId="0" applyAlignment="1">
      <alignment horizontal="left" vertical="center" wrapText="1"/>
    </xf>
    <xf numFmtId="0" fontId="4" fillId="2" borderId="0" xfId="0" applyFont="1" applyFill="1" applyAlignment="1">
      <alignment horizontal="center" vertical="top" wrapText="1"/>
    </xf>
    <xf numFmtId="0" fontId="3" fillId="2" borderId="0" xfId="0" applyFont="1" applyFill="1" applyAlignment="1">
      <alignment horizontal="center" vertical="center" wrapText="1"/>
    </xf>
    <xf numFmtId="0" fontId="3" fillId="2" borderId="0" xfId="0" applyFont="1" applyFill="1" applyAlignment="1">
      <alignment horizontal="center" wrapText="1"/>
    </xf>
    <xf numFmtId="0" fontId="0" fillId="0" borderId="0" xfId="0" applyAlignment="1">
      <alignment horizontal="left"/>
    </xf>
    <xf numFmtId="0" fontId="1" fillId="0" borderId="0" xfId="0" applyFont="1" applyAlignment="1">
      <alignment horizontal="left"/>
    </xf>
    <xf numFmtId="0" fontId="3" fillId="2" borderId="0" xfId="0" applyFont="1" applyFill="1" applyAlignment="1">
      <alignment horizontal="center"/>
    </xf>
    <xf numFmtId="0" fontId="0" fillId="0" borderId="2"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1" fillId="4" borderId="9" xfId="0" applyFont="1" applyFill="1" applyBorder="1" applyAlignment="1">
      <alignment horizontal="center"/>
    </xf>
    <xf numFmtId="0" fontId="1" fillId="4" borderId="7" xfId="0" applyFont="1" applyFill="1" applyBorder="1" applyAlignment="1">
      <alignment horizontal="center"/>
    </xf>
    <xf numFmtId="0" fontId="0" fillId="0" borderId="0" xfId="0" applyAlignment="1">
      <alignment horizontal="left" vertical="top"/>
    </xf>
    <xf numFmtId="0" fontId="0" fillId="0" borderId="2" xfId="0" applyBorder="1" applyAlignment="1">
      <alignment horizontal="left" vertical="top"/>
    </xf>
    <xf numFmtId="0" fontId="1" fillId="4" borderId="0" xfId="0" applyFont="1" applyFill="1" applyAlignment="1">
      <alignment horizontal="center"/>
    </xf>
    <xf numFmtId="0" fontId="0" fillId="4" borderId="0" xfId="0" applyFill="1" applyAlignment="1">
      <alignment horizontal="center"/>
    </xf>
    <xf numFmtId="0" fontId="6" fillId="4" borderId="0" xfId="0" applyFont="1" applyFill="1" applyAlignment="1">
      <alignment horizontal="center" vertical="center" wrapText="1"/>
    </xf>
    <xf numFmtId="0" fontId="2" fillId="5" borderId="0" xfId="0" applyFont="1" applyFill="1" applyAlignment="1">
      <alignment horizontal="center" vertical="center" wrapText="1"/>
    </xf>
    <xf numFmtId="0" fontId="1" fillId="5" borderId="0" xfId="0" applyFont="1" applyFill="1" applyAlignment="1">
      <alignment horizontal="center" vertical="center" wrapText="1"/>
    </xf>
    <xf numFmtId="0" fontId="1" fillId="0" borderId="0" xfId="0" applyFont="1" applyAlignment="1">
      <alignment horizontal="center"/>
    </xf>
    <xf numFmtId="0" fontId="1" fillId="4" borderId="0" xfId="0" applyFont="1" applyFill="1" applyAlignment="1">
      <alignment horizontal="center" vertical="center"/>
    </xf>
    <xf numFmtId="0" fontId="6" fillId="4" borderId="0" xfId="0" applyFont="1" applyFill="1" applyAlignment="1">
      <alignment horizontal="center" vertical="center"/>
    </xf>
  </cellXfs>
  <cellStyles count="1">
    <cellStyle name="Normal" xfId="0" builtinId="0"/>
  </cellStyles>
  <dxfs count="28">
    <dxf>
      <alignment horizontal="left"/>
    </dxf>
    <dxf>
      <alignment horizontal="left"/>
    </dxf>
    <dxf>
      <alignment vertical="center"/>
    </dxf>
    <dxf>
      <alignment vertical="center"/>
    </dxf>
    <dxf>
      <alignment wrapText="1"/>
    </dxf>
    <dxf>
      <alignment wrapText="1"/>
    </dxf>
    <dxf>
      <alignment horizontal="right"/>
    </dxf>
    <dxf>
      <alignment horizontal="left"/>
    </dxf>
    <dxf>
      <alignment horizontal="left"/>
    </dxf>
    <dxf>
      <alignment vertical="center"/>
    </dxf>
    <dxf>
      <alignment vertical="center"/>
    </dxf>
    <dxf>
      <alignment wrapText="1"/>
    </dxf>
    <dxf>
      <alignment wrapText="1"/>
    </dxf>
    <dxf>
      <alignment wrapText="1"/>
    </dxf>
    <dxf>
      <alignment wrapText="1"/>
    </dxf>
    <dxf>
      <alignment horizontal="right"/>
    </dxf>
    <dxf>
      <alignment wrapText="0"/>
    </dxf>
    <dxf>
      <alignment vertical="center"/>
    </dxf>
    <dxf>
      <alignment horizontal="right"/>
    </dxf>
    <dxf>
      <alignment horizontal="right"/>
    </dxf>
    <dxf>
      <alignment horizontal="right"/>
    </dxf>
    <dxf>
      <alignment horizontal="right"/>
    </dxf>
    <dxf>
      <alignment horizontal="right"/>
    </dxf>
    <dxf>
      <numFmt numFmtId="164" formatCode="dd\-mmm\-yyyy"/>
    </dxf>
    <dxf>
      <numFmt numFmtId="164" formatCode="dd\-mmm\-yyyy"/>
    </dxf>
    <dxf>
      <border outline="0">
        <top style="thin">
          <color indexed="64"/>
        </top>
      </border>
    </dxf>
    <dxf>
      <border outline="0">
        <bottom style="thin">
          <color indexed="64"/>
        </bottom>
      </border>
    </dxf>
    <dxf>
      <font>
        <strike val="0"/>
        <outline val="0"/>
        <shadow val="0"/>
        <u val="none"/>
        <vertAlign val="baseline"/>
        <sz val="11"/>
        <color auto="1"/>
        <name val="Calibri"/>
        <family val="2"/>
        <scheme val="minor"/>
      </font>
      <fill>
        <patternFill patternType="solid">
          <fgColor indexed="64"/>
          <bgColor theme="9"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law Compliance Tracker.xlsx]Dashboard!PivotTable1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0667568879512951"/>
          <c:y val="0.18903023732683705"/>
          <c:w val="0.53466084894934751"/>
          <c:h val="0.73147691452578445"/>
        </c:manualLayout>
      </c:layout>
      <c:pieChart>
        <c:varyColors val="1"/>
        <c:ser>
          <c:idx val="0"/>
          <c:order val="0"/>
          <c:tx>
            <c:strRef>
              <c:f>Dashboard!$L$59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1F-499E-B43D-5D37106DEE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1F-499E-B43D-5D37106DEE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1F-499E-B43D-5D37106DEE26}"/>
              </c:ext>
            </c:extLst>
          </c:dPt>
          <c:cat>
            <c:strRef>
              <c:f>Dashboard!$K$60:$K$63</c:f>
              <c:strCache>
                <c:ptCount val="3"/>
                <c:pt idx="0">
                  <c:v>Completed</c:v>
                </c:pt>
                <c:pt idx="1">
                  <c:v>In Progress</c:v>
                </c:pt>
                <c:pt idx="2">
                  <c:v>Pending</c:v>
                </c:pt>
              </c:strCache>
            </c:strRef>
          </c:cat>
          <c:val>
            <c:numRef>
              <c:f>Dashboard!$L$60:$L$63</c:f>
              <c:numCache>
                <c:formatCode>General</c:formatCode>
                <c:ptCount val="3"/>
                <c:pt idx="0">
                  <c:v>8</c:v>
                </c:pt>
                <c:pt idx="1">
                  <c:v>1</c:v>
                </c:pt>
                <c:pt idx="2">
                  <c:v>3</c:v>
                </c:pt>
              </c:numCache>
            </c:numRef>
          </c:val>
          <c:extLst>
            <c:ext xmlns:c16="http://schemas.microsoft.com/office/drawing/2014/chart" uri="{C3380CC4-5D6E-409C-BE32-E72D297353CC}">
              <c16:uniqueId val="{00000006-B21F-499E-B43D-5D37106DEE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law Compliance Tracker.xlsx]Dashboard!PivotTable2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67555383415978"/>
          <c:y val="7.6444009503430638E-2"/>
          <c:w val="0.72790232039349778"/>
          <c:h val="0.52493346637770233"/>
        </c:manualLayout>
      </c:layout>
      <c:barChart>
        <c:barDir val="col"/>
        <c:grouping val="clustered"/>
        <c:varyColors val="0"/>
        <c:ser>
          <c:idx val="0"/>
          <c:order val="0"/>
          <c:tx>
            <c:strRef>
              <c:f>Dashboard!$O$57</c:f>
              <c:strCache>
                <c:ptCount val="1"/>
                <c:pt idx="0">
                  <c:v>Total</c:v>
                </c:pt>
              </c:strCache>
            </c:strRef>
          </c:tx>
          <c:spPr>
            <a:solidFill>
              <a:schemeClr val="accent1"/>
            </a:solidFill>
            <a:ln>
              <a:noFill/>
            </a:ln>
            <a:effectLst/>
          </c:spPr>
          <c:invertIfNegative val="0"/>
          <c:cat>
            <c:strRef>
              <c:f>Dashboard!$N$58:$N$63</c:f>
              <c:strCache>
                <c:ptCount val="5"/>
                <c:pt idx="0">
                  <c:v>Annual</c:v>
                </c:pt>
                <c:pt idx="1">
                  <c:v>As Applicable</c:v>
                </c:pt>
                <c:pt idx="2">
                  <c:v>Half-Yearly</c:v>
                </c:pt>
                <c:pt idx="3">
                  <c:v>Ongoing</c:v>
                </c:pt>
                <c:pt idx="4">
                  <c:v>Quarterly</c:v>
                </c:pt>
              </c:strCache>
            </c:strRef>
          </c:cat>
          <c:val>
            <c:numRef>
              <c:f>Dashboard!$O$58:$O$63</c:f>
              <c:numCache>
                <c:formatCode>General</c:formatCode>
                <c:ptCount val="5"/>
                <c:pt idx="0">
                  <c:v>6</c:v>
                </c:pt>
                <c:pt idx="1">
                  <c:v>1</c:v>
                </c:pt>
                <c:pt idx="2">
                  <c:v>1</c:v>
                </c:pt>
                <c:pt idx="3">
                  <c:v>1</c:v>
                </c:pt>
                <c:pt idx="4">
                  <c:v>3</c:v>
                </c:pt>
              </c:numCache>
            </c:numRef>
          </c:val>
          <c:extLst>
            <c:ext xmlns:c16="http://schemas.microsoft.com/office/drawing/2014/chart" uri="{C3380CC4-5D6E-409C-BE32-E72D297353CC}">
              <c16:uniqueId val="{00000000-1EEA-4777-87E6-74608A4032D3}"/>
            </c:ext>
          </c:extLst>
        </c:ser>
        <c:dLbls>
          <c:showLegendKey val="0"/>
          <c:showVal val="0"/>
          <c:showCatName val="0"/>
          <c:showSerName val="0"/>
          <c:showPercent val="0"/>
          <c:showBubbleSize val="0"/>
        </c:dLbls>
        <c:gapWidth val="219"/>
        <c:overlap val="-27"/>
        <c:axId val="1424500623"/>
        <c:axId val="1598461647"/>
      </c:barChart>
      <c:catAx>
        <c:axId val="142450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61647"/>
        <c:crosses val="autoZero"/>
        <c:auto val="1"/>
        <c:lblAlgn val="ctr"/>
        <c:lblOffset val="100"/>
        <c:noMultiLvlLbl val="0"/>
      </c:catAx>
      <c:valAx>
        <c:axId val="159846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50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law Compliance Tracker.xlsx]Dashboard!PivotTable4</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Dashboard!$L$48</c:f>
              <c:strCache>
                <c:ptCount val="1"/>
                <c:pt idx="0">
                  <c:v>Total</c:v>
                </c:pt>
              </c:strCache>
            </c:strRef>
          </c:tx>
          <c:spPr>
            <a:ln w="28575" cap="rnd">
              <a:solidFill>
                <a:schemeClr val="accent1"/>
              </a:solidFill>
              <a:round/>
            </a:ln>
            <a:effectLst/>
          </c:spPr>
          <c:marker>
            <c:symbol val="none"/>
          </c:marker>
          <c:cat>
            <c:strRef>
              <c:f>Dashboard!$K$49:$K$56</c:f>
              <c:strCache>
                <c:ptCount val="7"/>
                <c:pt idx="0">
                  <c:v>Apr</c:v>
                </c:pt>
                <c:pt idx="1">
                  <c:v>Jun</c:v>
                </c:pt>
                <c:pt idx="2">
                  <c:v>Jul</c:v>
                </c:pt>
                <c:pt idx="3">
                  <c:v>Sep</c:v>
                </c:pt>
                <c:pt idx="4">
                  <c:v>Oct</c:v>
                </c:pt>
                <c:pt idx="5">
                  <c:v>Nov</c:v>
                </c:pt>
                <c:pt idx="6">
                  <c:v>Dec</c:v>
                </c:pt>
              </c:strCache>
            </c:strRef>
          </c:cat>
          <c:val>
            <c:numRef>
              <c:f>Dashboard!$L$49:$L$56</c:f>
              <c:numCache>
                <c:formatCode>General</c:formatCode>
                <c:ptCount val="7"/>
                <c:pt idx="0">
                  <c:v>3</c:v>
                </c:pt>
                <c:pt idx="1">
                  <c:v>1</c:v>
                </c:pt>
                <c:pt idx="2">
                  <c:v>1</c:v>
                </c:pt>
                <c:pt idx="3">
                  <c:v>3</c:v>
                </c:pt>
                <c:pt idx="4">
                  <c:v>2</c:v>
                </c:pt>
                <c:pt idx="5">
                  <c:v>1</c:v>
                </c:pt>
                <c:pt idx="6">
                  <c:v>1</c:v>
                </c:pt>
              </c:numCache>
            </c:numRef>
          </c:val>
          <c:smooth val="0"/>
          <c:extLst>
            <c:ext xmlns:c16="http://schemas.microsoft.com/office/drawing/2014/chart" uri="{C3380CC4-5D6E-409C-BE32-E72D297353CC}">
              <c16:uniqueId val="{00000000-BC62-477F-9E6F-46C259BCEEEB}"/>
            </c:ext>
          </c:extLst>
        </c:ser>
        <c:dLbls>
          <c:showLegendKey val="0"/>
          <c:showVal val="0"/>
          <c:showCatName val="0"/>
          <c:showSerName val="0"/>
          <c:showPercent val="0"/>
          <c:showBubbleSize val="0"/>
        </c:dLbls>
        <c:smooth val="0"/>
        <c:axId val="1984849871"/>
        <c:axId val="1704925743"/>
      </c:lineChart>
      <c:catAx>
        <c:axId val="198484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25743"/>
        <c:crosses val="autoZero"/>
        <c:auto val="1"/>
        <c:lblAlgn val="ctr"/>
        <c:lblOffset val="100"/>
        <c:noMultiLvlLbl val="0"/>
      </c:catAx>
      <c:valAx>
        <c:axId val="170492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84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law Compliance Tracker.xlsx]Dashboard!PivotTable3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09383678887352"/>
          <c:y val="9.3031177047064331E-2"/>
          <c:w val="0.55877275661135428"/>
          <c:h val="0.71135357824749246"/>
        </c:manualLayout>
      </c:layout>
      <c:barChart>
        <c:barDir val="bar"/>
        <c:grouping val="clustered"/>
        <c:varyColors val="0"/>
        <c:ser>
          <c:idx val="0"/>
          <c:order val="0"/>
          <c:tx>
            <c:strRef>
              <c:f>Dashboard!$O$48</c:f>
              <c:strCache>
                <c:ptCount val="1"/>
                <c:pt idx="0">
                  <c:v>Total</c:v>
                </c:pt>
              </c:strCache>
            </c:strRef>
          </c:tx>
          <c:spPr>
            <a:solidFill>
              <a:schemeClr val="accent1"/>
            </a:solidFill>
            <a:ln>
              <a:noFill/>
            </a:ln>
            <a:effectLst/>
          </c:spPr>
          <c:invertIfNegative val="0"/>
          <c:cat>
            <c:strRef>
              <c:f>Dashboard!$N$49:$N$53</c:f>
              <c:strCache>
                <c:ptCount val="4"/>
                <c:pt idx="0">
                  <c:v>Board of Directors</c:v>
                </c:pt>
                <c:pt idx="1">
                  <c:v>Company Secretary</c:v>
                </c:pt>
                <c:pt idx="2">
                  <c:v>Directors</c:v>
                </c:pt>
                <c:pt idx="3">
                  <c:v>Finance Team</c:v>
                </c:pt>
              </c:strCache>
            </c:strRef>
          </c:cat>
          <c:val>
            <c:numRef>
              <c:f>Dashboard!$O$49:$O$53</c:f>
              <c:numCache>
                <c:formatCode>General</c:formatCode>
                <c:ptCount val="4"/>
                <c:pt idx="0">
                  <c:v>2</c:v>
                </c:pt>
                <c:pt idx="1">
                  <c:v>5</c:v>
                </c:pt>
                <c:pt idx="2">
                  <c:v>2</c:v>
                </c:pt>
                <c:pt idx="3">
                  <c:v>3</c:v>
                </c:pt>
              </c:numCache>
            </c:numRef>
          </c:val>
          <c:extLst>
            <c:ext xmlns:c16="http://schemas.microsoft.com/office/drawing/2014/chart" uri="{C3380CC4-5D6E-409C-BE32-E72D297353CC}">
              <c16:uniqueId val="{00000000-73F9-4E1E-9070-17B7AB63813C}"/>
            </c:ext>
          </c:extLst>
        </c:ser>
        <c:dLbls>
          <c:showLegendKey val="0"/>
          <c:showVal val="0"/>
          <c:showCatName val="0"/>
          <c:showSerName val="0"/>
          <c:showPercent val="0"/>
          <c:showBubbleSize val="0"/>
        </c:dLbls>
        <c:gapWidth val="182"/>
        <c:axId val="1703735775"/>
        <c:axId val="1704926703"/>
      </c:barChart>
      <c:catAx>
        <c:axId val="170373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26703"/>
        <c:crosses val="autoZero"/>
        <c:auto val="1"/>
        <c:lblAlgn val="ctr"/>
        <c:lblOffset val="100"/>
        <c:noMultiLvlLbl val="0"/>
      </c:catAx>
      <c:valAx>
        <c:axId val="1704926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73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[Corporate law Compliance Tracker.xlsx]Dashboard!PivotTable5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1248825928451E-2"/>
          <c:y val="5.3271211133552043E-2"/>
          <c:w val="0.61402976601808545"/>
          <c:h val="0.56678798284701992"/>
        </c:manualLayout>
      </c:layout>
      <c:barChart>
        <c:barDir val="col"/>
        <c:grouping val="stacked"/>
        <c:varyColors val="0"/>
        <c:ser>
          <c:idx val="0"/>
          <c:order val="0"/>
          <c:tx>
            <c:strRef>
              <c:f>Dashboard!$L$67:$L$68</c:f>
              <c:strCache>
                <c:ptCount val="1"/>
                <c:pt idx="0">
                  <c:v>Completed</c:v>
                </c:pt>
              </c:strCache>
            </c:strRef>
          </c:tx>
          <c:spPr>
            <a:solidFill>
              <a:schemeClr val="accent1"/>
            </a:solidFill>
            <a:ln>
              <a:noFill/>
            </a:ln>
            <a:effectLst/>
          </c:spPr>
          <c:invertIfNegative val="0"/>
          <c:cat>
            <c:strRef>
              <c:f>Dashboard!$K$69:$K$73</c:f>
              <c:strCache>
                <c:ptCount val="4"/>
                <c:pt idx="0">
                  <c:v>Board of Directors</c:v>
                </c:pt>
                <c:pt idx="1">
                  <c:v>Company Secretary</c:v>
                </c:pt>
                <c:pt idx="2">
                  <c:v>Directors</c:v>
                </c:pt>
                <c:pt idx="3">
                  <c:v>Finance Team</c:v>
                </c:pt>
              </c:strCache>
            </c:strRef>
          </c:cat>
          <c:val>
            <c:numRef>
              <c:f>Dashboard!$L$69:$L$73</c:f>
              <c:numCache>
                <c:formatCode>General</c:formatCode>
                <c:ptCount val="4"/>
                <c:pt idx="0">
                  <c:v>2</c:v>
                </c:pt>
                <c:pt idx="1">
                  <c:v>2</c:v>
                </c:pt>
                <c:pt idx="2">
                  <c:v>2</c:v>
                </c:pt>
                <c:pt idx="3">
                  <c:v>2</c:v>
                </c:pt>
              </c:numCache>
            </c:numRef>
          </c:val>
          <c:extLst>
            <c:ext xmlns:c16="http://schemas.microsoft.com/office/drawing/2014/chart" uri="{C3380CC4-5D6E-409C-BE32-E72D297353CC}">
              <c16:uniqueId val="{00000000-33AE-4904-A207-913830E37694}"/>
            </c:ext>
          </c:extLst>
        </c:ser>
        <c:ser>
          <c:idx val="1"/>
          <c:order val="1"/>
          <c:tx>
            <c:strRef>
              <c:f>Dashboard!$M$67:$M$68</c:f>
              <c:strCache>
                <c:ptCount val="1"/>
                <c:pt idx="0">
                  <c:v>In Progress</c:v>
                </c:pt>
              </c:strCache>
            </c:strRef>
          </c:tx>
          <c:spPr>
            <a:solidFill>
              <a:schemeClr val="accent2"/>
            </a:solidFill>
            <a:ln>
              <a:noFill/>
            </a:ln>
            <a:effectLst/>
          </c:spPr>
          <c:invertIfNegative val="0"/>
          <c:cat>
            <c:strRef>
              <c:f>Dashboard!$K$69:$K$73</c:f>
              <c:strCache>
                <c:ptCount val="4"/>
                <c:pt idx="0">
                  <c:v>Board of Directors</c:v>
                </c:pt>
                <c:pt idx="1">
                  <c:v>Company Secretary</c:v>
                </c:pt>
                <c:pt idx="2">
                  <c:v>Directors</c:v>
                </c:pt>
                <c:pt idx="3">
                  <c:v>Finance Team</c:v>
                </c:pt>
              </c:strCache>
            </c:strRef>
          </c:cat>
          <c:val>
            <c:numRef>
              <c:f>Dashboard!$M$69:$M$73</c:f>
              <c:numCache>
                <c:formatCode>General</c:formatCode>
                <c:ptCount val="4"/>
                <c:pt idx="1">
                  <c:v>1</c:v>
                </c:pt>
              </c:numCache>
            </c:numRef>
          </c:val>
          <c:extLst>
            <c:ext xmlns:c16="http://schemas.microsoft.com/office/drawing/2014/chart" uri="{C3380CC4-5D6E-409C-BE32-E72D297353CC}">
              <c16:uniqueId val="{00000001-33AE-4904-A207-913830E37694}"/>
            </c:ext>
          </c:extLst>
        </c:ser>
        <c:ser>
          <c:idx val="2"/>
          <c:order val="2"/>
          <c:tx>
            <c:strRef>
              <c:f>Dashboard!$N$67:$N$68</c:f>
              <c:strCache>
                <c:ptCount val="1"/>
                <c:pt idx="0">
                  <c:v>Pending</c:v>
                </c:pt>
              </c:strCache>
            </c:strRef>
          </c:tx>
          <c:spPr>
            <a:solidFill>
              <a:schemeClr val="accent3"/>
            </a:solidFill>
            <a:ln>
              <a:noFill/>
            </a:ln>
            <a:effectLst/>
          </c:spPr>
          <c:invertIfNegative val="0"/>
          <c:cat>
            <c:strRef>
              <c:f>Dashboard!$K$69:$K$73</c:f>
              <c:strCache>
                <c:ptCount val="4"/>
                <c:pt idx="0">
                  <c:v>Board of Directors</c:v>
                </c:pt>
                <c:pt idx="1">
                  <c:v>Company Secretary</c:v>
                </c:pt>
                <c:pt idx="2">
                  <c:v>Directors</c:v>
                </c:pt>
                <c:pt idx="3">
                  <c:v>Finance Team</c:v>
                </c:pt>
              </c:strCache>
            </c:strRef>
          </c:cat>
          <c:val>
            <c:numRef>
              <c:f>Dashboard!$N$69:$N$73</c:f>
              <c:numCache>
                <c:formatCode>General</c:formatCode>
                <c:ptCount val="4"/>
                <c:pt idx="1">
                  <c:v>2</c:v>
                </c:pt>
                <c:pt idx="3">
                  <c:v>1</c:v>
                </c:pt>
              </c:numCache>
            </c:numRef>
          </c:val>
          <c:extLst>
            <c:ext xmlns:c16="http://schemas.microsoft.com/office/drawing/2014/chart" uri="{C3380CC4-5D6E-409C-BE32-E72D297353CC}">
              <c16:uniqueId val="{00000002-33AE-4904-A207-913830E37694}"/>
            </c:ext>
          </c:extLst>
        </c:ser>
        <c:dLbls>
          <c:showLegendKey val="0"/>
          <c:showVal val="0"/>
          <c:showCatName val="0"/>
          <c:showSerName val="0"/>
          <c:showPercent val="0"/>
          <c:showBubbleSize val="0"/>
        </c:dLbls>
        <c:gapWidth val="150"/>
        <c:overlap val="100"/>
        <c:axId val="2001053231"/>
        <c:axId val="1704895503"/>
      </c:barChart>
      <c:catAx>
        <c:axId val="200105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95503"/>
        <c:crosses val="autoZero"/>
        <c:auto val="1"/>
        <c:lblAlgn val="ctr"/>
        <c:lblOffset val="100"/>
        <c:noMultiLvlLbl val="0"/>
      </c:catAx>
      <c:valAx>
        <c:axId val="170489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053231"/>
        <c:crosses val="autoZero"/>
        <c:crossBetween val="between"/>
      </c:valAx>
      <c:spPr>
        <a:noFill/>
        <a:ln>
          <a:noFill/>
        </a:ln>
        <a:effectLst/>
      </c:spPr>
    </c:plotArea>
    <c:legend>
      <c:legendPos val="r"/>
      <c:layout>
        <c:manualLayout>
          <c:xMode val="edge"/>
          <c:yMode val="edge"/>
          <c:x val="0.69857379131091435"/>
          <c:y val="0.18294132942932353"/>
          <c:w val="0.25933586076645643"/>
          <c:h val="0.59724938287436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201713</xdr:colOff>
      <xdr:row>1</xdr:row>
      <xdr:rowOff>140368</xdr:rowOff>
    </xdr:from>
    <xdr:to>
      <xdr:col>2</xdr:col>
      <xdr:colOff>435229</xdr:colOff>
      <xdr:row>4</xdr:row>
      <xdr:rowOff>133576</xdr:rowOff>
    </xdr:to>
    <xdr:sp macro="" textlink="">
      <xdr:nvSpPr>
        <xdr:cNvPr id="7" name="Rectangle: Rounded Corners 6">
          <a:extLst>
            <a:ext uri="{FF2B5EF4-FFF2-40B4-BE49-F238E27FC236}">
              <a16:creationId xmlns:a16="http://schemas.microsoft.com/office/drawing/2014/main" id="{0684F065-CA77-2AE5-660B-81870C2DFE28}"/>
            </a:ext>
          </a:extLst>
        </xdr:cNvPr>
        <xdr:cNvSpPr/>
      </xdr:nvSpPr>
      <xdr:spPr>
        <a:xfrm>
          <a:off x="201713" y="467894"/>
          <a:ext cx="1450042" cy="521261"/>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Total</a:t>
          </a:r>
          <a:r>
            <a:rPr lang="en-IN" sz="1200" b="1" baseline="0">
              <a:solidFill>
                <a:sysClr val="windowText" lastClr="000000"/>
              </a:solidFill>
            </a:rPr>
            <a:t> Compliance</a:t>
          </a:r>
          <a:endParaRPr lang="en-IN" sz="1200" b="1">
            <a:solidFill>
              <a:sysClr val="windowText" lastClr="000000"/>
            </a:solidFill>
          </a:endParaRPr>
        </a:p>
      </xdr:txBody>
    </xdr:sp>
    <xdr:clientData/>
  </xdr:twoCellAnchor>
  <xdr:twoCellAnchor>
    <xdr:from>
      <xdr:col>3</xdr:col>
      <xdr:colOff>460673</xdr:colOff>
      <xdr:row>1</xdr:row>
      <xdr:rowOff>153737</xdr:rowOff>
    </xdr:from>
    <xdr:to>
      <xdr:col>6</xdr:col>
      <xdr:colOff>85925</xdr:colOff>
      <xdr:row>4</xdr:row>
      <xdr:rowOff>140261</xdr:rowOff>
    </xdr:to>
    <xdr:sp macro="" textlink="">
      <xdr:nvSpPr>
        <xdr:cNvPr id="9" name="Rectangle: Rounded Corners 8">
          <a:extLst>
            <a:ext uri="{FF2B5EF4-FFF2-40B4-BE49-F238E27FC236}">
              <a16:creationId xmlns:a16="http://schemas.microsoft.com/office/drawing/2014/main" id="{B4644472-67BE-498F-844E-7B05769F04E8}"/>
            </a:ext>
          </a:extLst>
        </xdr:cNvPr>
        <xdr:cNvSpPr/>
      </xdr:nvSpPr>
      <xdr:spPr>
        <a:xfrm>
          <a:off x="2285462" y="481263"/>
          <a:ext cx="1450042" cy="514577"/>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Completed</a:t>
          </a:r>
        </a:p>
        <a:p>
          <a:pPr algn="l"/>
          <a:endParaRPr lang="en-IN" sz="1100"/>
        </a:p>
      </xdr:txBody>
    </xdr:sp>
    <xdr:clientData/>
  </xdr:twoCellAnchor>
  <xdr:twoCellAnchor>
    <xdr:from>
      <xdr:col>7</xdr:col>
      <xdr:colOff>108457</xdr:colOff>
      <xdr:row>1</xdr:row>
      <xdr:rowOff>137135</xdr:rowOff>
    </xdr:from>
    <xdr:to>
      <xdr:col>9</xdr:col>
      <xdr:colOff>341973</xdr:colOff>
      <xdr:row>4</xdr:row>
      <xdr:rowOff>127000</xdr:rowOff>
    </xdr:to>
    <xdr:sp macro="" textlink="">
      <xdr:nvSpPr>
        <xdr:cNvPr id="11" name="Rectangle: Rounded Corners 10">
          <a:extLst>
            <a:ext uri="{FF2B5EF4-FFF2-40B4-BE49-F238E27FC236}">
              <a16:creationId xmlns:a16="http://schemas.microsoft.com/office/drawing/2014/main" id="{F581C75F-ACD5-4E51-9137-F6F4D32F560F}"/>
            </a:ext>
          </a:extLst>
        </xdr:cNvPr>
        <xdr:cNvSpPr/>
      </xdr:nvSpPr>
      <xdr:spPr>
        <a:xfrm>
          <a:off x="4366299" y="464661"/>
          <a:ext cx="1450042" cy="517918"/>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Pending</a:t>
          </a:r>
        </a:p>
      </xdr:txBody>
    </xdr:sp>
    <xdr:clientData/>
  </xdr:twoCellAnchor>
  <xdr:twoCellAnchor>
    <xdr:from>
      <xdr:col>0</xdr:col>
      <xdr:colOff>200634</xdr:colOff>
      <xdr:row>4</xdr:row>
      <xdr:rowOff>167321</xdr:rowOff>
    </xdr:from>
    <xdr:to>
      <xdr:col>2</xdr:col>
      <xdr:colOff>434150</xdr:colOff>
      <xdr:row>7</xdr:row>
      <xdr:rowOff>160422</xdr:rowOff>
    </xdr:to>
    <xdr:sp macro="" textlink="">
      <xdr:nvSpPr>
        <xdr:cNvPr id="13" name="Rectangle: Rounded Corners 12">
          <a:extLst>
            <a:ext uri="{FF2B5EF4-FFF2-40B4-BE49-F238E27FC236}">
              <a16:creationId xmlns:a16="http://schemas.microsoft.com/office/drawing/2014/main" id="{84879121-0FB3-49F8-BD6E-1C4B685BC8BC}"/>
            </a:ext>
          </a:extLst>
        </xdr:cNvPr>
        <xdr:cNvSpPr/>
      </xdr:nvSpPr>
      <xdr:spPr>
        <a:xfrm>
          <a:off x="200634" y="1022900"/>
          <a:ext cx="1450042" cy="534522"/>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In Progress</a:t>
          </a:r>
        </a:p>
      </xdr:txBody>
    </xdr:sp>
    <xdr:clientData/>
  </xdr:twoCellAnchor>
  <xdr:twoCellAnchor>
    <xdr:from>
      <xdr:col>3</xdr:col>
      <xdr:colOff>427680</xdr:colOff>
      <xdr:row>4</xdr:row>
      <xdr:rowOff>172928</xdr:rowOff>
    </xdr:from>
    <xdr:to>
      <xdr:col>6</xdr:col>
      <xdr:colOff>126567</xdr:colOff>
      <xdr:row>7</xdr:row>
      <xdr:rowOff>153737</xdr:rowOff>
    </xdr:to>
    <xdr:sp macro="" textlink="">
      <xdr:nvSpPr>
        <xdr:cNvPr id="15" name="Rectangle: Rounded Corners 14">
          <a:extLst>
            <a:ext uri="{FF2B5EF4-FFF2-40B4-BE49-F238E27FC236}">
              <a16:creationId xmlns:a16="http://schemas.microsoft.com/office/drawing/2014/main" id="{19839493-05AB-40CB-9A80-271625D5C754}"/>
            </a:ext>
          </a:extLst>
        </xdr:cNvPr>
        <xdr:cNvSpPr/>
      </xdr:nvSpPr>
      <xdr:spPr>
        <a:xfrm>
          <a:off x="2252469" y="1028507"/>
          <a:ext cx="1523677" cy="52223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Completion Rate</a:t>
          </a:r>
        </a:p>
      </xdr:txBody>
    </xdr:sp>
    <xdr:clientData/>
  </xdr:twoCellAnchor>
  <xdr:twoCellAnchor>
    <xdr:from>
      <xdr:col>7</xdr:col>
      <xdr:colOff>49700</xdr:colOff>
      <xdr:row>4</xdr:row>
      <xdr:rowOff>153954</xdr:rowOff>
    </xdr:from>
    <xdr:to>
      <xdr:col>9</xdr:col>
      <xdr:colOff>369249</xdr:colOff>
      <xdr:row>7</xdr:row>
      <xdr:rowOff>133685</xdr:rowOff>
    </xdr:to>
    <xdr:sp macro="" textlink="">
      <xdr:nvSpPr>
        <xdr:cNvPr id="17" name="Rectangle: Rounded Corners 16">
          <a:extLst>
            <a:ext uri="{FF2B5EF4-FFF2-40B4-BE49-F238E27FC236}">
              <a16:creationId xmlns:a16="http://schemas.microsoft.com/office/drawing/2014/main" id="{99C23D4D-9788-4AF7-88DE-BCCD79827A36}"/>
            </a:ext>
          </a:extLst>
        </xdr:cNvPr>
        <xdr:cNvSpPr/>
      </xdr:nvSpPr>
      <xdr:spPr>
        <a:xfrm>
          <a:off x="4307542" y="1009533"/>
          <a:ext cx="1536075" cy="521152"/>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Annual Compliances</a:t>
          </a:r>
        </a:p>
      </xdr:txBody>
    </xdr:sp>
    <xdr:clientData/>
  </xdr:twoCellAnchor>
  <xdr:twoCellAnchor>
    <xdr:from>
      <xdr:col>0</xdr:col>
      <xdr:colOff>526650</xdr:colOff>
      <xdr:row>3</xdr:row>
      <xdr:rowOff>53473</xdr:rowOff>
    </xdr:from>
    <xdr:to>
      <xdr:col>2</xdr:col>
      <xdr:colOff>127000</xdr:colOff>
      <xdr:row>4</xdr:row>
      <xdr:rowOff>113631</xdr:rowOff>
    </xdr:to>
    <xdr:sp macro="" textlink="'Compliance Tracker'!G16">
      <xdr:nvSpPr>
        <xdr:cNvPr id="18" name="TextBox 17">
          <a:extLst>
            <a:ext uri="{FF2B5EF4-FFF2-40B4-BE49-F238E27FC236}">
              <a16:creationId xmlns:a16="http://schemas.microsoft.com/office/drawing/2014/main" id="{1B07A9CF-0A13-5EEA-3D6A-666CB2664C23}"/>
            </a:ext>
          </a:extLst>
        </xdr:cNvPr>
        <xdr:cNvSpPr txBox="1"/>
      </xdr:nvSpPr>
      <xdr:spPr>
        <a:xfrm>
          <a:off x="526650" y="728578"/>
          <a:ext cx="816876" cy="2406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28C651-5F60-4716-B442-15E7E82B8B9C}" type="TxLink">
            <a:rPr lang="en-US" sz="1200" b="1" i="0" u="none" strike="noStrike">
              <a:solidFill>
                <a:srgbClr val="000000"/>
              </a:solidFill>
              <a:latin typeface="Calibri"/>
              <a:ea typeface="Calibri"/>
              <a:cs typeface="Calibri"/>
            </a:rPr>
            <a:pPr algn="ctr"/>
            <a:t>12</a:t>
          </a:fld>
          <a:endParaRPr lang="en-IN" sz="1200" b="1"/>
        </a:p>
      </xdr:txBody>
    </xdr:sp>
    <xdr:clientData/>
  </xdr:twoCellAnchor>
  <xdr:twoCellAnchor>
    <xdr:from>
      <xdr:col>0</xdr:col>
      <xdr:colOff>552850</xdr:colOff>
      <xdr:row>6</xdr:row>
      <xdr:rowOff>66842</xdr:rowOff>
    </xdr:from>
    <xdr:to>
      <xdr:col>2</xdr:col>
      <xdr:colOff>106948</xdr:colOff>
      <xdr:row>7</xdr:row>
      <xdr:rowOff>93579</xdr:rowOff>
    </xdr:to>
    <xdr:sp macro="" textlink="'Compliance Tracker'!G19">
      <xdr:nvSpPr>
        <xdr:cNvPr id="19" name="TextBox 18">
          <a:extLst>
            <a:ext uri="{FF2B5EF4-FFF2-40B4-BE49-F238E27FC236}">
              <a16:creationId xmlns:a16="http://schemas.microsoft.com/office/drawing/2014/main" id="{19B0F768-CF25-993C-0250-6B29A8D2B15B}"/>
            </a:ext>
          </a:extLst>
        </xdr:cNvPr>
        <xdr:cNvSpPr txBox="1"/>
      </xdr:nvSpPr>
      <xdr:spPr>
        <a:xfrm>
          <a:off x="552850" y="1283368"/>
          <a:ext cx="770624" cy="2072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6C2D98-5FE0-4913-9762-4592C146BE60}" type="TxLink">
            <a:rPr lang="en-US" sz="1200" b="1" i="0" u="none" strike="noStrike">
              <a:solidFill>
                <a:srgbClr val="000000"/>
              </a:solidFill>
              <a:latin typeface="Calibri"/>
              <a:ea typeface="Calibri"/>
              <a:cs typeface="Calibri"/>
            </a:rPr>
            <a:pPr algn="ctr"/>
            <a:t>1</a:t>
          </a:fld>
          <a:endParaRPr lang="en-IN" sz="1200" b="1"/>
        </a:p>
      </xdr:txBody>
    </xdr:sp>
    <xdr:clientData/>
  </xdr:twoCellAnchor>
  <xdr:twoCellAnchor>
    <xdr:from>
      <xdr:col>4</xdr:col>
      <xdr:colOff>207210</xdr:colOff>
      <xdr:row>3</xdr:row>
      <xdr:rowOff>53475</xdr:rowOff>
    </xdr:from>
    <xdr:to>
      <xdr:col>5</xdr:col>
      <xdr:colOff>347579</xdr:colOff>
      <xdr:row>4</xdr:row>
      <xdr:rowOff>80211</xdr:rowOff>
    </xdr:to>
    <xdr:sp macro="" textlink="'Compliance Tracker'!G17">
      <xdr:nvSpPr>
        <xdr:cNvPr id="20" name="TextBox 19">
          <a:extLst>
            <a:ext uri="{FF2B5EF4-FFF2-40B4-BE49-F238E27FC236}">
              <a16:creationId xmlns:a16="http://schemas.microsoft.com/office/drawing/2014/main" id="{18B6C8E5-00D6-D1A8-6AE7-411E2BACFD6B}"/>
            </a:ext>
          </a:extLst>
        </xdr:cNvPr>
        <xdr:cNvSpPr txBox="1"/>
      </xdr:nvSpPr>
      <xdr:spPr>
        <a:xfrm>
          <a:off x="2640263" y="728580"/>
          <a:ext cx="748632" cy="2072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4E1F86-0F11-4835-A563-6C4FCC5FFC6C}" type="TxLink">
            <a:rPr lang="en-US" sz="1200" b="1" i="0" u="none" strike="noStrike">
              <a:solidFill>
                <a:sysClr val="windowText" lastClr="000000"/>
              </a:solidFill>
              <a:latin typeface="Calibri"/>
              <a:ea typeface="Calibri"/>
              <a:cs typeface="Calibri"/>
            </a:rPr>
            <a:pPr algn="ctr"/>
            <a:t>8</a:t>
          </a:fld>
          <a:endParaRPr lang="en-IN" sz="1200" b="1">
            <a:solidFill>
              <a:sysClr val="windowText" lastClr="000000"/>
            </a:solidFill>
          </a:endParaRPr>
        </a:p>
      </xdr:txBody>
    </xdr:sp>
    <xdr:clientData/>
  </xdr:twoCellAnchor>
  <xdr:twoCellAnchor>
    <xdr:from>
      <xdr:col>7</xdr:col>
      <xdr:colOff>434474</xdr:colOff>
      <xdr:row>3</xdr:row>
      <xdr:rowOff>40105</xdr:rowOff>
    </xdr:from>
    <xdr:to>
      <xdr:col>8</xdr:col>
      <xdr:colOff>592415</xdr:colOff>
      <xdr:row>4</xdr:row>
      <xdr:rowOff>80211</xdr:rowOff>
    </xdr:to>
    <xdr:sp macro="" textlink="'Compliance Tracker'!G18">
      <xdr:nvSpPr>
        <xdr:cNvPr id="21" name="TextBox 20">
          <a:extLst>
            <a:ext uri="{FF2B5EF4-FFF2-40B4-BE49-F238E27FC236}">
              <a16:creationId xmlns:a16="http://schemas.microsoft.com/office/drawing/2014/main" id="{975EB5BC-F0AD-0616-3750-9E070B87D50B}"/>
            </a:ext>
          </a:extLst>
        </xdr:cNvPr>
        <xdr:cNvSpPr txBox="1"/>
      </xdr:nvSpPr>
      <xdr:spPr>
        <a:xfrm>
          <a:off x="4692316" y="715210"/>
          <a:ext cx="766204" cy="220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BBFA0E-70B2-40C1-8DB5-33B6BE3B177D}" type="TxLink">
            <a:rPr lang="en-US" sz="1200" b="1" i="0" u="none" strike="noStrike">
              <a:solidFill>
                <a:srgbClr val="000000"/>
              </a:solidFill>
              <a:latin typeface="Calibri"/>
              <a:ea typeface="Calibri"/>
              <a:cs typeface="Calibri"/>
            </a:rPr>
            <a:pPr algn="ctr"/>
            <a:t>3</a:t>
          </a:fld>
          <a:endParaRPr lang="en-IN" sz="1200" b="1"/>
        </a:p>
      </xdr:txBody>
    </xdr:sp>
    <xdr:clientData/>
  </xdr:twoCellAnchor>
  <xdr:twoCellAnchor>
    <xdr:from>
      <xdr:col>4</xdr:col>
      <xdr:colOff>169369</xdr:colOff>
      <xdr:row>6</xdr:row>
      <xdr:rowOff>46791</xdr:rowOff>
    </xdr:from>
    <xdr:to>
      <xdr:col>5</xdr:col>
      <xdr:colOff>401052</xdr:colOff>
      <xdr:row>7</xdr:row>
      <xdr:rowOff>93579</xdr:rowOff>
    </xdr:to>
    <xdr:sp macro="" textlink="'Compliance Tracker'!G20">
      <xdr:nvSpPr>
        <xdr:cNvPr id="22" name="TextBox 21">
          <a:extLst>
            <a:ext uri="{FF2B5EF4-FFF2-40B4-BE49-F238E27FC236}">
              <a16:creationId xmlns:a16="http://schemas.microsoft.com/office/drawing/2014/main" id="{399DD915-9312-5459-98BE-D8D85AD71AB8}"/>
            </a:ext>
          </a:extLst>
        </xdr:cNvPr>
        <xdr:cNvSpPr txBox="1"/>
      </xdr:nvSpPr>
      <xdr:spPr>
        <a:xfrm>
          <a:off x="2602422" y="1263317"/>
          <a:ext cx="839946" cy="2272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936DC6-4D33-44D0-8700-54CAF2E9B110}" type="TxLink">
            <a:rPr lang="en-US" sz="1200" b="1" i="0" u="none" strike="noStrike">
              <a:solidFill>
                <a:srgbClr val="000000"/>
              </a:solidFill>
              <a:latin typeface="Calibri"/>
              <a:ea typeface="Calibri"/>
              <a:cs typeface="Calibri"/>
            </a:rPr>
            <a:pPr algn="ctr"/>
            <a:t>66.67%</a:t>
          </a:fld>
          <a:endParaRPr lang="en-IN" sz="1200" b="1"/>
        </a:p>
      </xdr:txBody>
    </xdr:sp>
    <xdr:clientData/>
  </xdr:twoCellAnchor>
  <xdr:twoCellAnchor>
    <xdr:from>
      <xdr:col>7</xdr:col>
      <xdr:colOff>414421</xdr:colOff>
      <xdr:row>6</xdr:row>
      <xdr:rowOff>46790</xdr:rowOff>
    </xdr:from>
    <xdr:to>
      <xdr:col>8</xdr:col>
      <xdr:colOff>581417</xdr:colOff>
      <xdr:row>7</xdr:row>
      <xdr:rowOff>92717</xdr:rowOff>
    </xdr:to>
    <xdr:sp macro="" textlink="'Compliance Tracker'!G21">
      <xdr:nvSpPr>
        <xdr:cNvPr id="23" name="TextBox 22">
          <a:extLst>
            <a:ext uri="{FF2B5EF4-FFF2-40B4-BE49-F238E27FC236}">
              <a16:creationId xmlns:a16="http://schemas.microsoft.com/office/drawing/2014/main" id="{DB08093C-7CAB-534B-B91A-657638F0063F}"/>
            </a:ext>
          </a:extLst>
        </xdr:cNvPr>
        <xdr:cNvSpPr txBox="1"/>
      </xdr:nvSpPr>
      <xdr:spPr>
        <a:xfrm>
          <a:off x="4672263" y="1263316"/>
          <a:ext cx="775259" cy="226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C36142-6ECA-4B0C-8B77-A5A8E4070E48}" type="TxLink">
            <a:rPr lang="en-US" sz="1200" b="1" i="0" u="none" strike="noStrike">
              <a:solidFill>
                <a:srgbClr val="000000"/>
              </a:solidFill>
              <a:latin typeface="Calibri"/>
              <a:ea typeface="Calibri"/>
              <a:cs typeface="Calibri"/>
            </a:rPr>
            <a:pPr algn="ctr"/>
            <a:t>6</a:t>
          </a:fld>
          <a:endParaRPr lang="en-IN" sz="1200" b="1"/>
        </a:p>
      </xdr:txBody>
    </xdr:sp>
    <xdr:clientData/>
  </xdr:twoCellAnchor>
  <xdr:twoCellAnchor>
    <xdr:from>
      <xdr:col>0</xdr:col>
      <xdr:colOff>20877</xdr:colOff>
      <xdr:row>8</xdr:row>
      <xdr:rowOff>13368</xdr:rowOff>
    </xdr:from>
    <xdr:to>
      <xdr:col>4</xdr:col>
      <xdr:colOff>441157</xdr:colOff>
      <xdr:row>18</xdr:row>
      <xdr:rowOff>153738</xdr:rowOff>
    </xdr:to>
    <xdr:sp macro="" textlink="">
      <xdr:nvSpPr>
        <xdr:cNvPr id="24" name="Rectangle: Rounded Corners 23">
          <a:extLst>
            <a:ext uri="{FF2B5EF4-FFF2-40B4-BE49-F238E27FC236}">
              <a16:creationId xmlns:a16="http://schemas.microsoft.com/office/drawing/2014/main" id="{E08B9F1E-8CC1-6AFB-0235-60B6F6AADDA7}"/>
            </a:ext>
          </a:extLst>
        </xdr:cNvPr>
        <xdr:cNvSpPr/>
      </xdr:nvSpPr>
      <xdr:spPr>
        <a:xfrm>
          <a:off x="20877" y="1631313"/>
          <a:ext cx="2841979" cy="1935767"/>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COMPLIANCE</a:t>
          </a:r>
          <a:r>
            <a:rPr lang="en-IN" sz="1200" b="1" baseline="0">
              <a:solidFill>
                <a:sysClr val="windowText" lastClr="000000"/>
              </a:solidFill>
            </a:rPr>
            <a:t> STATUS</a:t>
          </a:r>
          <a:endParaRPr lang="en-IN" sz="1200" b="1">
            <a:solidFill>
              <a:sysClr val="windowText" lastClr="000000"/>
            </a:solidFill>
          </a:endParaRPr>
        </a:p>
      </xdr:txBody>
    </xdr:sp>
    <xdr:clientData/>
  </xdr:twoCellAnchor>
  <xdr:twoCellAnchor>
    <xdr:from>
      <xdr:col>0</xdr:col>
      <xdr:colOff>281836</xdr:colOff>
      <xdr:row>10</xdr:row>
      <xdr:rowOff>93944</xdr:rowOff>
    </xdr:from>
    <xdr:to>
      <xdr:col>4</xdr:col>
      <xdr:colOff>83598</xdr:colOff>
      <xdr:row>18</xdr:row>
      <xdr:rowOff>53472</xdr:rowOff>
    </xdr:to>
    <xdr:graphicFrame macro="">
      <xdr:nvGraphicFramePr>
        <xdr:cNvPr id="26" name="Chart 25">
          <a:extLst>
            <a:ext uri="{FF2B5EF4-FFF2-40B4-BE49-F238E27FC236}">
              <a16:creationId xmlns:a16="http://schemas.microsoft.com/office/drawing/2014/main" id="{9115653E-EF04-49C8-B3B9-F233B0FFB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594893</xdr:colOff>
      <xdr:row>7</xdr:row>
      <xdr:rowOff>169943</xdr:rowOff>
    </xdr:from>
    <xdr:to>
      <xdr:col>9</xdr:col>
      <xdr:colOff>542793</xdr:colOff>
      <xdr:row>18</xdr:row>
      <xdr:rowOff>169945</xdr:rowOff>
    </xdr:to>
    <xdr:sp macro="" textlink="">
      <xdr:nvSpPr>
        <xdr:cNvPr id="29" name="Rectangle: Rounded Corners 28">
          <a:extLst>
            <a:ext uri="{FF2B5EF4-FFF2-40B4-BE49-F238E27FC236}">
              <a16:creationId xmlns:a16="http://schemas.microsoft.com/office/drawing/2014/main" id="{6CDCF0B8-137F-45E3-9C26-589DF641FC6C}"/>
            </a:ext>
          </a:extLst>
        </xdr:cNvPr>
        <xdr:cNvSpPr/>
      </xdr:nvSpPr>
      <xdr:spPr>
        <a:xfrm>
          <a:off x="3016592" y="1599998"/>
          <a:ext cx="2975023" cy="1983289"/>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COMPLIANCE FREQUENCY</a:t>
          </a:r>
        </a:p>
      </xdr:txBody>
    </xdr:sp>
    <xdr:clientData/>
  </xdr:twoCellAnchor>
  <xdr:twoCellAnchor>
    <xdr:from>
      <xdr:col>5</xdr:col>
      <xdr:colOff>200528</xdr:colOff>
      <xdr:row>10</xdr:row>
      <xdr:rowOff>40105</xdr:rowOff>
    </xdr:from>
    <xdr:to>
      <xdr:col>9</xdr:col>
      <xdr:colOff>365342</xdr:colOff>
      <xdr:row>18</xdr:row>
      <xdr:rowOff>53474</xdr:rowOff>
    </xdr:to>
    <xdr:graphicFrame macro="">
      <xdr:nvGraphicFramePr>
        <xdr:cNvPr id="31" name="Chart 30">
          <a:extLst>
            <a:ext uri="{FF2B5EF4-FFF2-40B4-BE49-F238E27FC236}">
              <a16:creationId xmlns:a16="http://schemas.microsoft.com/office/drawing/2014/main" id="{907AFCB9-F6B6-4702-8314-3D9E6695F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41753</xdr:colOff>
      <xdr:row>19</xdr:row>
      <xdr:rowOff>0</xdr:rowOff>
    </xdr:from>
    <xdr:to>
      <xdr:col>4</xdr:col>
      <xdr:colOff>461209</xdr:colOff>
      <xdr:row>29</xdr:row>
      <xdr:rowOff>73527</xdr:rowOff>
    </xdr:to>
    <xdr:sp macro="" textlink="">
      <xdr:nvSpPr>
        <xdr:cNvPr id="33" name="Rectangle: Rounded Corners 32">
          <a:extLst>
            <a:ext uri="{FF2B5EF4-FFF2-40B4-BE49-F238E27FC236}">
              <a16:creationId xmlns:a16="http://schemas.microsoft.com/office/drawing/2014/main" id="{9B846514-71F1-4569-B81F-519D33A9DCAD}"/>
            </a:ext>
          </a:extLst>
        </xdr:cNvPr>
        <xdr:cNvSpPr/>
      </xdr:nvSpPr>
      <xdr:spPr>
        <a:xfrm>
          <a:off x="41753" y="3601233"/>
          <a:ext cx="2841155" cy="1952431"/>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MONTHLY DUES</a:t>
          </a:r>
        </a:p>
      </xdr:txBody>
    </xdr:sp>
    <xdr:clientData/>
  </xdr:twoCellAnchor>
  <xdr:twoCellAnchor>
    <xdr:from>
      <xdr:col>0</xdr:col>
      <xdr:colOff>187890</xdr:colOff>
      <xdr:row>20</xdr:row>
      <xdr:rowOff>153736</xdr:rowOff>
    </xdr:from>
    <xdr:to>
      <xdr:col>4</xdr:col>
      <xdr:colOff>340895</xdr:colOff>
      <xdr:row>28</xdr:row>
      <xdr:rowOff>100263</xdr:rowOff>
    </xdr:to>
    <xdr:graphicFrame macro="">
      <xdr:nvGraphicFramePr>
        <xdr:cNvPr id="35" name="Chart 34">
          <a:extLst>
            <a:ext uri="{FF2B5EF4-FFF2-40B4-BE49-F238E27FC236}">
              <a16:creationId xmlns:a16="http://schemas.microsoft.com/office/drawing/2014/main" id="{68D67987-AFAD-420F-B76A-B04A1D0B3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536018</xdr:colOff>
      <xdr:row>19</xdr:row>
      <xdr:rowOff>18404</xdr:rowOff>
    </xdr:from>
    <xdr:to>
      <xdr:col>9</xdr:col>
      <xdr:colOff>521918</xdr:colOff>
      <xdr:row>29</xdr:row>
      <xdr:rowOff>91931</xdr:rowOff>
    </xdr:to>
    <xdr:sp macro="" textlink="">
      <xdr:nvSpPr>
        <xdr:cNvPr id="37" name="Rectangle: Rounded Corners 36">
          <a:extLst>
            <a:ext uri="{FF2B5EF4-FFF2-40B4-BE49-F238E27FC236}">
              <a16:creationId xmlns:a16="http://schemas.microsoft.com/office/drawing/2014/main" id="{27965200-4A7E-46EC-B1A8-ECC66B670735}"/>
            </a:ext>
          </a:extLst>
        </xdr:cNvPr>
        <xdr:cNvSpPr/>
      </xdr:nvSpPr>
      <xdr:spPr>
        <a:xfrm>
          <a:off x="2957717" y="3619637"/>
          <a:ext cx="3013023" cy="1952431"/>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RESPONSIBLE DEPARTMENT</a:t>
          </a:r>
        </a:p>
      </xdr:txBody>
    </xdr:sp>
    <xdr:clientData/>
  </xdr:twoCellAnchor>
  <xdr:twoCellAnchor>
    <xdr:from>
      <xdr:col>5</xdr:col>
      <xdr:colOff>149980</xdr:colOff>
      <xdr:row>21</xdr:row>
      <xdr:rowOff>10437</xdr:rowOff>
    </xdr:from>
    <xdr:to>
      <xdr:col>9</xdr:col>
      <xdr:colOff>281834</xdr:colOff>
      <xdr:row>29</xdr:row>
      <xdr:rowOff>24317</xdr:rowOff>
    </xdr:to>
    <xdr:graphicFrame macro="">
      <xdr:nvGraphicFramePr>
        <xdr:cNvPr id="39" name="Chart 38">
          <a:extLst>
            <a:ext uri="{FF2B5EF4-FFF2-40B4-BE49-F238E27FC236}">
              <a16:creationId xmlns:a16="http://schemas.microsoft.com/office/drawing/2014/main" id="{43262D1D-2FE7-4B2B-84F0-236DDEBD4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26737</xdr:colOff>
      <xdr:row>29</xdr:row>
      <xdr:rowOff>100265</xdr:rowOff>
    </xdr:from>
    <xdr:to>
      <xdr:col>4</xdr:col>
      <xdr:colOff>340894</xdr:colOff>
      <xdr:row>39</xdr:row>
      <xdr:rowOff>120316</xdr:rowOff>
    </xdr:to>
    <xdr:sp macro="" textlink="">
      <xdr:nvSpPr>
        <xdr:cNvPr id="42" name="Rectangle: Rounded Corners 41">
          <a:extLst>
            <a:ext uri="{FF2B5EF4-FFF2-40B4-BE49-F238E27FC236}">
              <a16:creationId xmlns:a16="http://schemas.microsoft.com/office/drawing/2014/main" id="{DDB4650D-8543-4597-8A07-42C3571DF85D}"/>
            </a:ext>
          </a:extLst>
        </xdr:cNvPr>
        <xdr:cNvSpPr/>
      </xdr:nvSpPr>
      <xdr:spPr>
        <a:xfrm>
          <a:off x="26737" y="5400844"/>
          <a:ext cx="2747210" cy="1824788"/>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STATUS BY DEPARTMENT</a:t>
          </a:r>
        </a:p>
      </xdr:txBody>
    </xdr:sp>
    <xdr:clientData/>
  </xdr:twoCellAnchor>
  <xdr:twoCellAnchor>
    <xdr:from>
      <xdr:col>0</xdr:col>
      <xdr:colOff>104385</xdr:colOff>
      <xdr:row>31</xdr:row>
      <xdr:rowOff>20053</xdr:rowOff>
    </xdr:from>
    <xdr:to>
      <xdr:col>4</xdr:col>
      <xdr:colOff>240632</xdr:colOff>
      <xdr:row>38</xdr:row>
      <xdr:rowOff>160422</xdr:rowOff>
    </xdr:to>
    <xdr:graphicFrame macro="">
      <xdr:nvGraphicFramePr>
        <xdr:cNvPr id="44" name="Chart 43">
          <a:extLst>
            <a:ext uri="{FF2B5EF4-FFF2-40B4-BE49-F238E27FC236}">
              <a16:creationId xmlns:a16="http://schemas.microsoft.com/office/drawing/2014/main" id="{BF53C3FE-32A6-4D35-8456-36AD0B161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6685</xdr:colOff>
      <xdr:row>39</xdr:row>
      <xdr:rowOff>160420</xdr:rowOff>
    </xdr:from>
    <xdr:to>
      <xdr:col>9</xdr:col>
      <xdr:colOff>588211</xdr:colOff>
      <xdr:row>45</xdr:row>
      <xdr:rowOff>53472</xdr:rowOff>
    </xdr:to>
    <xdr:sp macro="" textlink="">
      <xdr:nvSpPr>
        <xdr:cNvPr id="46" name="Rectangle: Rounded Corners 45">
          <a:extLst>
            <a:ext uri="{FF2B5EF4-FFF2-40B4-BE49-F238E27FC236}">
              <a16:creationId xmlns:a16="http://schemas.microsoft.com/office/drawing/2014/main" id="{C9AA9048-0812-407B-819B-39B0CC471162}"/>
            </a:ext>
          </a:extLst>
        </xdr:cNvPr>
        <xdr:cNvSpPr/>
      </xdr:nvSpPr>
      <xdr:spPr>
        <a:xfrm>
          <a:off x="6685" y="7265736"/>
          <a:ext cx="6055894" cy="108952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KEY INSIGHTS</a:t>
          </a:r>
        </a:p>
        <a:p>
          <a:r>
            <a:rPr lang="en-IN" sz="1100">
              <a:solidFill>
                <a:sysClr val="windowText" lastClr="000000"/>
              </a:solidFill>
            </a:rPr>
            <a:t>• 8 of 12 compliances have been completed, resulting in a 66.67% completion rate.</a:t>
          </a:r>
        </a:p>
        <a:p>
          <a:r>
            <a:rPr lang="en-IN" sz="1100">
              <a:solidFill>
                <a:sysClr val="windowText" lastClr="000000"/>
              </a:solidFill>
            </a:rPr>
            <a:t>• Annual compliances represent the largest category.</a:t>
          </a:r>
        </a:p>
        <a:p>
          <a:r>
            <a:rPr lang="en-IN" sz="1100">
              <a:solidFill>
                <a:sysClr val="windowText" lastClr="000000"/>
              </a:solidFill>
            </a:rPr>
            <a:t>• The Company Secretary is responsible for the highest number of compliance activities.</a:t>
          </a:r>
        </a:p>
        <a:p>
          <a:r>
            <a:rPr lang="en-IN" sz="1100">
              <a:solidFill>
                <a:sysClr val="windowText" lastClr="000000"/>
              </a:solidFill>
            </a:rPr>
            <a:t>• Three compliances remain pending and require timely completion to ensure regulatory compliance.</a:t>
          </a:r>
        </a:p>
        <a:p>
          <a:pPr algn="l"/>
          <a:endParaRPr lang="en-IN" sz="1200" b="1">
            <a:solidFill>
              <a:sysClr val="windowText" lastClr="000000"/>
            </a:solidFill>
          </a:endParaRPr>
        </a:p>
      </xdr:txBody>
    </xdr:sp>
    <xdr:clientData/>
  </xdr:twoCellAnchor>
  <xdr:twoCellAnchor>
    <xdr:from>
      <xdr:col>4</xdr:col>
      <xdr:colOff>374315</xdr:colOff>
      <xdr:row>29</xdr:row>
      <xdr:rowOff>135698</xdr:rowOff>
    </xdr:from>
    <xdr:to>
      <xdr:col>9</xdr:col>
      <xdr:colOff>561474</xdr:colOff>
      <xdr:row>39</xdr:row>
      <xdr:rowOff>74808</xdr:rowOff>
    </xdr:to>
    <xdr:sp macro="" textlink="">
      <xdr:nvSpPr>
        <xdr:cNvPr id="48" name="Rectangle: Rounded Corners 47">
          <a:extLst>
            <a:ext uri="{FF2B5EF4-FFF2-40B4-BE49-F238E27FC236}">
              <a16:creationId xmlns:a16="http://schemas.microsoft.com/office/drawing/2014/main" id="{E0AD1271-77F5-4E34-A8C4-986EED383311}"/>
            </a:ext>
          </a:extLst>
        </xdr:cNvPr>
        <xdr:cNvSpPr/>
      </xdr:nvSpPr>
      <xdr:spPr>
        <a:xfrm>
          <a:off x="2796014" y="5615835"/>
          <a:ext cx="3214282" cy="1818014"/>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200" b="1">
            <a:solidFill>
              <a:sysClr val="windowText" lastClr="000000"/>
            </a:solidFill>
          </a:endParaRPr>
        </a:p>
      </xdr:txBody>
    </xdr:sp>
    <xdr:clientData/>
  </xdr:twoCellAnchor>
  <xdr:twoCellAnchor editAs="absolute">
    <xdr:from>
      <xdr:col>4</xdr:col>
      <xdr:colOff>468538</xdr:colOff>
      <xdr:row>30</xdr:row>
      <xdr:rowOff>150664</xdr:rowOff>
    </xdr:from>
    <xdr:to>
      <xdr:col>6</xdr:col>
      <xdr:colOff>407096</xdr:colOff>
      <xdr:row>38</xdr:row>
      <xdr:rowOff>30950</xdr:rowOff>
    </xdr:to>
    <mc:AlternateContent xmlns:mc="http://schemas.openxmlformats.org/markup-compatibility/2006" xmlns:sle15="http://schemas.microsoft.com/office/drawing/2012/slicer">
      <mc:Choice Requires="sle15">
        <xdr:graphicFrame macro="">
          <xdr:nvGraphicFramePr>
            <xdr:cNvPr id="53" name="Responsible Department">
              <a:extLst>
                <a:ext uri="{FF2B5EF4-FFF2-40B4-BE49-F238E27FC236}">
                  <a16:creationId xmlns:a16="http://schemas.microsoft.com/office/drawing/2014/main" id="{B1B1C31E-7B54-443A-959F-2F1098777EA0}"/>
                </a:ext>
              </a:extLst>
            </xdr:cNvPr>
            <xdr:cNvGraphicFramePr/>
          </xdr:nvGraphicFramePr>
          <xdr:xfrm>
            <a:off x="0" y="0"/>
            <a:ext cx="0" cy="0"/>
          </xdr:xfrm>
          <a:graphic>
            <a:graphicData uri="http://schemas.microsoft.com/office/drawing/2010/slicer">
              <sle:slicer xmlns:sle="http://schemas.microsoft.com/office/drawing/2010/slicer" name="Responsible Department"/>
            </a:graphicData>
          </a:graphic>
        </xdr:graphicFrame>
      </mc:Choice>
      <mc:Fallback xmlns="">
        <xdr:sp macro="" textlink="">
          <xdr:nvSpPr>
            <xdr:cNvPr id="0" name=""/>
            <xdr:cNvSpPr>
              <a:spLocks noTextEdit="1"/>
            </xdr:cNvSpPr>
          </xdr:nvSpPr>
          <xdr:spPr>
            <a:xfrm>
              <a:off x="2890237" y="5818691"/>
              <a:ext cx="1149407" cy="138341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232027</xdr:colOff>
      <xdr:row>30</xdr:row>
      <xdr:rowOff>156574</xdr:rowOff>
    </xdr:from>
    <xdr:to>
      <xdr:col>8</xdr:col>
      <xdr:colOff>125262</xdr:colOff>
      <xdr:row>38</xdr:row>
      <xdr:rowOff>31313</xdr:rowOff>
    </xdr:to>
    <mc:AlternateContent xmlns:mc="http://schemas.openxmlformats.org/markup-compatibility/2006" xmlns:sle15="http://schemas.microsoft.com/office/drawing/2012/slicer">
      <mc:Choice Requires="sle15">
        <xdr:graphicFrame macro="">
          <xdr:nvGraphicFramePr>
            <xdr:cNvPr id="55" name="Frequency">
              <a:extLst>
                <a:ext uri="{FF2B5EF4-FFF2-40B4-BE49-F238E27FC236}">
                  <a16:creationId xmlns:a16="http://schemas.microsoft.com/office/drawing/2014/main" id="{B6963839-B562-46D4-BF4A-A6F02C2892B7}"/>
                </a:ext>
              </a:extLst>
            </xdr:cNvPr>
            <xdr:cNvGraphicFramePr/>
          </xdr:nvGraphicFramePr>
          <xdr:xfrm>
            <a:off x="0" y="0"/>
            <a:ext cx="0" cy="0"/>
          </xdr:xfrm>
          <a:graphic>
            <a:graphicData uri="http://schemas.microsoft.com/office/drawing/2010/slicer">
              <sle:slicer xmlns:sle="http://schemas.microsoft.com/office/drawing/2010/slicer" name="Frequency"/>
            </a:graphicData>
          </a:graphic>
        </xdr:graphicFrame>
      </mc:Choice>
      <mc:Fallback xmlns="">
        <xdr:sp macro="" textlink="">
          <xdr:nvSpPr>
            <xdr:cNvPr id="0" name=""/>
            <xdr:cNvSpPr>
              <a:spLocks noTextEdit="1"/>
            </xdr:cNvSpPr>
          </xdr:nvSpPr>
          <xdr:spPr>
            <a:xfrm>
              <a:off x="3864575" y="5824601"/>
              <a:ext cx="1104084" cy="137786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555615</xdr:colOff>
      <xdr:row>30</xdr:row>
      <xdr:rowOff>167014</xdr:rowOff>
    </xdr:from>
    <xdr:to>
      <xdr:col>9</xdr:col>
      <xdr:colOff>460572</xdr:colOff>
      <xdr:row>38</xdr:row>
      <xdr:rowOff>31315</xdr:rowOff>
    </xdr:to>
    <mc:AlternateContent xmlns:mc="http://schemas.openxmlformats.org/markup-compatibility/2006" xmlns:sle15="http://schemas.microsoft.com/office/drawing/2012/slicer">
      <mc:Choice Requires="sle15">
        <xdr:graphicFrame macro="">
          <xdr:nvGraphicFramePr>
            <xdr:cNvPr id="3" name="Status 1">
              <a:extLst>
                <a:ext uri="{FF2B5EF4-FFF2-40B4-BE49-F238E27FC236}">
                  <a16:creationId xmlns:a16="http://schemas.microsoft.com/office/drawing/2014/main" id="{39793F90-D5E3-44D2-8FD5-3AF94568A68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4793588" y="5835041"/>
              <a:ext cx="1115806" cy="13674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ana N" refreshedDate="46240.544012615741" createdVersion="8" refreshedVersion="8" minRefreshableVersion="3" recordCount="12" xr:uid="{0B235458-8B20-47BD-9BB0-C1923445EF3E}">
  <cacheSource type="worksheet">
    <worksheetSource name="tblcompliance"/>
  </cacheSource>
  <cacheFields count="11">
    <cacheField name="Compliance ID" numFmtId="0">
      <sharedItems count="12">
        <s v="C001"/>
        <s v="C002"/>
        <s v="C003"/>
        <s v="C004"/>
        <s v="C005"/>
        <s v="C006"/>
        <s v="C007"/>
        <s v="C008"/>
        <s v="C009"/>
        <s v="C010"/>
        <s v="C011"/>
        <s v="C012"/>
      </sharedItems>
    </cacheField>
    <cacheField name="Compliance Requirement" numFmtId="0">
      <sharedItems count="10">
        <s v="Board Meeting"/>
        <s v="Annual General Meeting(AGM)"/>
        <s v="Filing of Financial Statements"/>
        <s v="Annual Return Filing"/>
        <s v="DIR-3 KYC"/>
        <s v="DPT-3 Return"/>
        <s v="MSME Form-1"/>
        <s v="MBP-1 Disclosure"/>
        <s v="Auditor Appointment"/>
        <s v="Maintainance of Statutory Registers"/>
      </sharedItems>
    </cacheField>
    <cacheField name="Relevant Section/Form" numFmtId="0">
      <sharedItems/>
    </cacheField>
    <cacheField name="Due Date" numFmtId="164">
      <sharedItems containsSemiMixedTypes="0" containsNonDate="0" containsDate="1" containsString="0" minDate="2025-04-15T00:00:00" maxDate="2026-01-01T00:00:00" count="9">
        <d v="2025-04-30T00:00:00"/>
        <d v="2025-07-31T00:00:00"/>
        <d v="2025-10-31T00:00:00"/>
        <d v="2025-09-30T00:00:00"/>
        <d v="2025-10-30T00:00:00"/>
        <d v="2025-11-29T00:00:00"/>
        <d v="2025-06-30T00:00:00"/>
        <d v="2025-04-15T00:00:00"/>
        <d v="2025-12-31T00:00:00"/>
      </sharedItems>
      <fieldGroup par="10"/>
    </cacheField>
    <cacheField name="Frequency" numFmtId="0">
      <sharedItems count="5">
        <s v="Quarterly"/>
        <s v="Annual"/>
        <s v="Half-Yearly"/>
        <s v="As Applicable"/>
        <s v="Ongoing"/>
      </sharedItems>
    </cacheField>
    <cacheField name="Responsible Department" numFmtId="0">
      <sharedItems count="4">
        <s v="Company Secretary"/>
        <s v="Board of Directors"/>
        <s v="Finance Team"/>
        <s v="Directors"/>
      </sharedItems>
    </cacheField>
    <cacheField name="Status" numFmtId="0">
      <sharedItems count="3">
        <s v="Completed"/>
        <s v="Pending"/>
        <s v="In Progress"/>
      </sharedItems>
    </cacheField>
    <cacheField name="Completion Date" numFmtId="164">
      <sharedItems containsNonDate="0" containsDate="1" containsString="0" containsBlank="1" minDate="2025-04-15T00:00:00" maxDate="2025-09-30T00:00:00"/>
    </cacheField>
    <cacheField name="Remarks" numFmtId="0">
      <sharedItems/>
    </cacheField>
    <cacheField name="Days (Due Date)" numFmtId="0" databaseField="0">
      <fieldGroup base="3">
        <rangePr groupBy="days" startDate="2025-04-15T00:00:00" endDate="2026-01-01T00:00:00"/>
        <groupItems count="368">
          <s v="&lt;4/15/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Due Date)" numFmtId="0" databaseField="0">
      <fieldGroup base="3">
        <rangePr groupBy="months" startDate="2025-04-15T00:00:00" endDate="2026-01-01T00:00:00"/>
        <groupItems count="14">
          <s v="&lt;4/15/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s v="Sec. 173"/>
    <x v="0"/>
    <x v="0"/>
    <x v="0"/>
    <x v="0"/>
    <d v="2025-04-28T00:00:00"/>
    <s v="Conducted on time"/>
  </r>
  <r>
    <x v="1"/>
    <x v="0"/>
    <s v="Sec. 173"/>
    <x v="1"/>
    <x v="0"/>
    <x v="0"/>
    <x v="0"/>
    <d v="2025-07-30T00:00:00"/>
    <s v="Conducted on time"/>
  </r>
  <r>
    <x v="2"/>
    <x v="0"/>
    <s v="Sec. 173"/>
    <x v="2"/>
    <x v="0"/>
    <x v="0"/>
    <x v="1"/>
    <m/>
    <s v="Scheduled"/>
  </r>
  <r>
    <x v="3"/>
    <x v="1"/>
    <s v="Sec. 96"/>
    <x v="3"/>
    <x v="1"/>
    <x v="1"/>
    <x v="0"/>
    <d v="2025-09-29T00:00:00"/>
    <s v="AGM held Sucessfully"/>
  </r>
  <r>
    <x v="4"/>
    <x v="2"/>
    <s v="Form AOC-4"/>
    <x v="4"/>
    <x v="1"/>
    <x v="2"/>
    <x v="1"/>
    <m/>
    <s v="To be Filed"/>
  </r>
  <r>
    <x v="5"/>
    <x v="3"/>
    <s v="Form MGT-7"/>
    <x v="5"/>
    <x v="1"/>
    <x v="0"/>
    <x v="1"/>
    <m/>
    <s v="Awaiting Filing"/>
  </r>
  <r>
    <x v="6"/>
    <x v="4"/>
    <s v="Rule 12A"/>
    <x v="3"/>
    <x v="1"/>
    <x v="3"/>
    <x v="0"/>
    <d v="2025-09-20T00:00:00"/>
    <s v="Filed Sucessfully"/>
  </r>
  <r>
    <x v="7"/>
    <x v="5"/>
    <s v="Form DPT-3"/>
    <x v="6"/>
    <x v="1"/>
    <x v="2"/>
    <x v="0"/>
    <d v="2025-08-25T00:00:00"/>
    <s v="Submitted"/>
  </r>
  <r>
    <x v="8"/>
    <x v="6"/>
    <s v="MSME Rules"/>
    <x v="0"/>
    <x v="2"/>
    <x v="2"/>
    <x v="0"/>
    <d v="2025-08-29T00:00:00"/>
    <s v="Filed"/>
  </r>
  <r>
    <x v="9"/>
    <x v="7"/>
    <s v="Sec. 184"/>
    <x v="7"/>
    <x v="1"/>
    <x v="3"/>
    <x v="0"/>
    <d v="2025-04-15T00:00:00"/>
    <s v="Received"/>
  </r>
  <r>
    <x v="10"/>
    <x v="8"/>
    <s v="Sec. 139"/>
    <x v="3"/>
    <x v="3"/>
    <x v="1"/>
    <x v="0"/>
    <d v="2025-09-29T00:00:00"/>
    <s v="Ratified"/>
  </r>
  <r>
    <x v="11"/>
    <x v="9"/>
    <s v="Companies Act,2013"/>
    <x v="8"/>
    <x v="4"/>
    <x v="0"/>
    <x v="2"/>
    <m/>
    <s v="Regular updat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19FF40-5010-4CE8-BAD0-8EE0F8D88C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48:L56" firstHeaderRow="1" firstDataRow="1" firstDataCol="1"/>
  <pivotFields count="11">
    <pivotField showAll="0"/>
    <pivotField dataField="1" showAll="0">
      <items count="11">
        <item x="1"/>
        <item x="3"/>
        <item x="8"/>
        <item x="0"/>
        <item x="4"/>
        <item x="5"/>
        <item x="2"/>
        <item x="9"/>
        <item x="7"/>
        <item x="6"/>
        <item t="default"/>
      </items>
    </pivotField>
    <pivotField showAll="0"/>
    <pivotField axis="axisRow" numFmtId="164" showAll="0">
      <items count="10">
        <item x="7"/>
        <item x="0"/>
        <item x="6"/>
        <item x="1"/>
        <item x="3"/>
        <item x="4"/>
        <item x="2"/>
        <item x="5"/>
        <item x="8"/>
        <item t="default"/>
      </items>
    </pivotField>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3"/>
  </rowFields>
  <rowItems count="8">
    <i>
      <x v="4"/>
    </i>
    <i>
      <x v="6"/>
    </i>
    <i>
      <x v="7"/>
    </i>
    <i>
      <x v="9"/>
    </i>
    <i>
      <x v="10"/>
    </i>
    <i>
      <x v="11"/>
    </i>
    <i>
      <x v="12"/>
    </i>
    <i t="grand">
      <x/>
    </i>
  </rowItems>
  <colItems count="1">
    <i/>
  </colItems>
  <dataFields count="1">
    <dataField name="Count of Compliance Requirement" fld="1" subtotal="count" baseField="0" baseItem="0"/>
  </dataFields>
  <formats count="7">
    <format dxfId="6">
      <pivotArea dataOnly="0" outline="0" axis="axisValues" fieldPosition="0"/>
    </format>
    <format dxfId="5">
      <pivotArea field="10" type="button" dataOnly="0" labelOnly="1" outline="0" axis="axisRow" fieldPosition="0"/>
    </format>
    <format dxfId="4">
      <pivotArea dataOnly="0" labelOnly="1" outline="0" axis="axisValues" fieldPosition="0"/>
    </format>
    <format dxfId="3">
      <pivotArea field="10" type="button" dataOnly="0" labelOnly="1" outline="0" axis="axisRow" fieldPosition="0"/>
    </format>
    <format dxfId="2">
      <pivotArea dataOnly="0" labelOnly="1" outline="0" axis="axisValues" fieldPosition="0"/>
    </format>
    <format dxfId="1">
      <pivotArea field="10" type="button" dataOnly="0" labelOnly="1" outline="0" axis="axisRow" fieldPosition="0"/>
    </format>
    <format dxfId="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6A2F2F-9655-48B2-80DF-78C8A95683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48:O53" firstHeaderRow="1" firstDataRow="1" firstDataCol="1"/>
  <pivotFields count="11">
    <pivotField showAll="0"/>
    <pivotField dataField="1" showAll="0">
      <items count="11">
        <item x="1"/>
        <item x="3"/>
        <item x="8"/>
        <item x="0"/>
        <item x="4"/>
        <item x="5"/>
        <item x="2"/>
        <item x="9"/>
        <item x="7"/>
        <item x="6"/>
        <item t="default"/>
      </items>
    </pivotField>
    <pivotField showAll="0"/>
    <pivotField numFmtId="164" showAll="0">
      <items count="10">
        <item x="7"/>
        <item x="0"/>
        <item x="6"/>
        <item x="1"/>
        <item x="3"/>
        <item x="4"/>
        <item x="2"/>
        <item x="5"/>
        <item x="8"/>
        <item t="default"/>
      </items>
    </pivotField>
    <pivotField showAll="0"/>
    <pivotField axis="axisRow" showAll="0">
      <items count="5">
        <item x="1"/>
        <item x="0"/>
        <item x="3"/>
        <item x="2"/>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Count of Compliance Requirement" fld="1" subtotal="count" baseField="0" baseItem="0"/>
  </dataFields>
  <formats count="6">
    <format dxfId="12">
      <pivotArea field="5" type="button" dataOnly="0" labelOnly="1" outline="0" axis="axisRow" fieldPosition="0"/>
    </format>
    <format dxfId="11">
      <pivotArea dataOnly="0" labelOnly="1" outline="0" axis="axisValues" fieldPosition="0"/>
    </format>
    <format dxfId="10">
      <pivotArea field="5" type="button" dataOnly="0" labelOnly="1" outline="0" axis="axisRow" fieldPosition="0"/>
    </format>
    <format dxfId="9">
      <pivotArea dataOnly="0" labelOnly="1" outline="0" axis="axisValues" fieldPosition="0"/>
    </format>
    <format dxfId="8">
      <pivotArea field="5" type="button" dataOnly="0" labelOnly="1" outline="0" axis="axisRow" fieldPosition="0"/>
    </format>
    <format dxfId="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136499-409A-449C-BE0C-984882155E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57:O63" firstHeaderRow="1" firstDataRow="1" firstDataCol="1"/>
  <pivotFields count="11">
    <pivotField showAll="0"/>
    <pivotField dataField="1" showAll="0">
      <items count="11">
        <item x="1"/>
        <item x="3"/>
        <item x="8"/>
        <item x="0"/>
        <item x="4"/>
        <item x="5"/>
        <item x="2"/>
        <item x="9"/>
        <item x="7"/>
        <item x="6"/>
        <item t="default"/>
      </items>
    </pivotField>
    <pivotField showAll="0"/>
    <pivotField numFmtId="164" showAll="0">
      <items count="10">
        <item x="7"/>
        <item x="0"/>
        <item x="6"/>
        <item x="1"/>
        <item x="3"/>
        <item x="4"/>
        <item x="2"/>
        <item x="5"/>
        <item x="8"/>
        <item t="default"/>
      </items>
    </pivotField>
    <pivotField axis="axisRow" showAll="0">
      <items count="6">
        <item x="1"/>
        <item x="3"/>
        <item x="2"/>
        <item x="4"/>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Count of Compliance Requirement" fld="1" subtotal="count" baseField="0" baseItem="0"/>
  </dataFields>
  <formats count="3">
    <format dxfId="15">
      <pivotArea dataOnly="0" labelOnly="1" outline="0" axis="axisValues" fieldPosition="0"/>
    </format>
    <format dxfId="14">
      <pivotArea field="4" type="button" dataOnly="0" labelOnly="1" outline="0" axis="axisRow" fieldPosition="0"/>
    </format>
    <format dxfId="13">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48E900-C4E4-460A-A1C2-59F39C4015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59:L63" firstHeaderRow="1" firstDataRow="1" firstDataCol="1"/>
  <pivotFields count="11">
    <pivotField showAll="0"/>
    <pivotField dataField="1" showAll="0">
      <items count="11">
        <item x="1"/>
        <item x="3"/>
        <item x="8"/>
        <item x="0"/>
        <item x="4"/>
        <item x="5"/>
        <item x="2"/>
        <item x="9"/>
        <item x="7"/>
        <item x="6"/>
        <item t="default"/>
      </items>
    </pivotField>
    <pivotField showAll="0"/>
    <pivotField numFmtId="164" showAll="0">
      <items count="10">
        <item x="7"/>
        <item x="0"/>
        <item x="6"/>
        <item x="1"/>
        <item x="3"/>
        <item x="4"/>
        <item x="2"/>
        <item x="5"/>
        <item x="8"/>
        <item t="default"/>
      </items>
    </pivotField>
    <pivotField showAll="0"/>
    <pivotField showAll="0"/>
    <pivotField axis="axisRow" showAll="0">
      <items count="4">
        <item x="0"/>
        <item x="2"/>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Count of Compliance Requirement" fld="1" subtotal="count" baseField="0" baseItem="0"/>
  </dataFields>
  <formats count="3">
    <format dxfId="18">
      <pivotArea dataOnly="0" labelOnly="1" outline="0" axis="axisValues" fieldPosition="0"/>
    </format>
    <format dxfId="17">
      <pivotArea field="6" type="button" dataOnly="0" labelOnly="1" outline="0" axis="axisRow" fieldPosition="0"/>
    </format>
    <format dxfId="16">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75698B-DDF6-478B-B6C0-C16CEF2C5C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67:O73" firstHeaderRow="1" firstDataRow="2" firstDataCol="1"/>
  <pivotFields count="11">
    <pivotField dataField="1" showAll="0">
      <items count="13">
        <item x="0"/>
        <item x="1"/>
        <item x="2"/>
        <item x="3"/>
        <item x="4"/>
        <item x="5"/>
        <item x="6"/>
        <item x="7"/>
        <item x="8"/>
        <item x="9"/>
        <item x="10"/>
        <item x="11"/>
        <item t="default"/>
      </items>
    </pivotField>
    <pivotField showAll="0">
      <items count="11">
        <item x="1"/>
        <item x="3"/>
        <item x="8"/>
        <item x="0"/>
        <item x="4"/>
        <item x="5"/>
        <item x="2"/>
        <item x="9"/>
        <item x="7"/>
        <item x="6"/>
        <item t="default"/>
      </items>
    </pivotField>
    <pivotField showAll="0"/>
    <pivotField numFmtId="164" showAll="0">
      <items count="10">
        <item x="7"/>
        <item x="0"/>
        <item x="6"/>
        <item x="1"/>
        <item x="3"/>
        <item x="4"/>
        <item x="2"/>
        <item x="5"/>
        <item x="8"/>
        <item t="default"/>
      </items>
    </pivotField>
    <pivotField showAll="0"/>
    <pivotField axis="axisRow" showAll="0">
      <items count="5">
        <item x="1"/>
        <item x="0"/>
        <item x="3"/>
        <item x="2"/>
        <item t="default"/>
      </items>
    </pivotField>
    <pivotField axis="axisCol" showAll="0">
      <items count="4">
        <item x="0"/>
        <item x="2"/>
        <item x="1"/>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Fields count="1">
    <field x="6"/>
  </colFields>
  <colItems count="4">
    <i>
      <x/>
    </i>
    <i>
      <x v="1"/>
    </i>
    <i>
      <x v="2"/>
    </i>
    <i t="grand">
      <x/>
    </i>
  </colItems>
  <dataFields count="1">
    <dataField name="Count of Compliance ID" fld="0" subtotal="count" baseField="0" baseItem="0"/>
  </dataFields>
  <formats count="4">
    <format dxfId="22">
      <pivotArea dataOnly="0" labelOnly="1" fieldPosition="0">
        <references count="1">
          <reference field="6" count="1">
            <x v="1"/>
          </reference>
        </references>
      </pivotArea>
    </format>
    <format dxfId="21">
      <pivotArea dataOnly="0" labelOnly="1" fieldPosition="0">
        <references count="1">
          <reference field="6" count="1">
            <x v="2"/>
          </reference>
        </references>
      </pivotArea>
    </format>
    <format dxfId="20">
      <pivotArea dataOnly="0" labelOnly="1" grandCol="1" outline="0" fieldPosition="0"/>
    </format>
    <format dxfId="19">
      <pivotArea dataOnly="0" labelOnly="1" fieldPosition="0">
        <references count="1">
          <reference field="6" count="1">
            <x v="0"/>
          </reference>
        </references>
      </pivotArea>
    </format>
  </formats>
  <chartFormats count="3">
    <chartFormat chart="4" format="6" series="1">
      <pivotArea type="data" outline="0" fieldPosition="0">
        <references count="2">
          <reference field="4294967294" count="1" selected="0">
            <x v="0"/>
          </reference>
          <reference field="6" count="1" selected="0">
            <x v="0"/>
          </reference>
        </references>
      </pivotArea>
    </chartFormat>
    <chartFormat chart="4" format="7" series="1">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73469CF-CC45-4309-B628-F474867D36E7}" sourceName="Status">
  <extLst>
    <x:ext xmlns:x15="http://schemas.microsoft.com/office/spreadsheetml/2010/11/main" uri="{2F2917AC-EB37-4324-AD4E-5DD8C200BD13}">
      <x15:tableSlicerCache tableId="2" column="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ible_Department" xr10:uid="{C764BA87-0D51-4AF2-9C36-9DFB37407D24}" sourceName="Responsible Department">
  <extLst>
    <x:ext xmlns:x15="http://schemas.microsoft.com/office/spreadsheetml/2010/11/main" uri="{2F2917AC-EB37-4324-AD4E-5DD8C200BD13}">
      <x15:tableSlicerCache tableId="2"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 xr10:uid="{AC703076-992E-47BC-BBBA-F7BFF2A79E32}" sourceName="Frequency">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F6A00135-217C-460D-8421-0BC50600450A}" cache="Slicer_Status" caption="Status" rowHeight="234950"/>
  <slicer name="Responsible Department" xr10:uid="{7CBDE06C-E89C-42A8-9076-4D6CB70119CE}" cache="Slicer_Responsible_Department" caption="Responsible Department" rowHeight="234950"/>
  <slicer name="Frequency" xr10:uid="{378AD467-BB43-4805-A0EE-86C469E7BA79}" cache="Slicer_Frequency" caption="Frequenc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F9AFDE-0202-4350-A73B-61772546EB2B}" name="tblcompliance" displayName="tblcompliance" ref="A1:I13" totalsRowShown="0" headerRowDxfId="27" headerRowBorderDxfId="26" tableBorderDxfId="25">
  <autoFilter ref="A1:I13" xr:uid="{0DF9AFDE-0202-4350-A73B-61772546EB2B}"/>
  <tableColumns count="9">
    <tableColumn id="1" xr3:uid="{37104418-74CF-485B-8A2A-5659A9E83FA6}" name="Compliance ID"/>
    <tableColumn id="2" xr3:uid="{F6720B8A-D8D5-4B90-BD0D-0E392427EF42}" name="Compliance Requirement"/>
    <tableColumn id="3" xr3:uid="{FE576843-40BA-4FA5-B5A2-77D1BA3A59B5}" name="Relevant Section/Form"/>
    <tableColumn id="4" xr3:uid="{EFB221DD-1702-462D-AE08-0F6AEAF22A46}" name="Due Date" dataDxfId="24"/>
    <tableColumn id="5" xr3:uid="{02545F62-82FE-425E-AC96-286AC0B42747}" name="Frequency"/>
    <tableColumn id="6" xr3:uid="{1BC2722C-C445-48A1-B131-04A7FBC3CAB3}" name="Responsible Department"/>
    <tableColumn id="7" xr3:uid="{5E3939CD-A1AD-4965-9F19-5A514BAF5E7D}" name="Status"/>
    <tableColumn id="8" xr3:uid="{A634E5AF-7FAC-475E-923B-29A91EF32BE5}" name="Completion Date" dataDxfId="23"/>
    <tableColumn id="9" xr3:uid="{B6DC3B15-9B9D-48D0-AD2B-1D97DFC2818E}" name="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C1DD9-4F1B-4667-88E1-3CB806F41A89}">
  <dimension ref="A1:E50"/>
  <sheetViews>
    <sheetView showGridLines="0" topLeftCell="A28" zoomScale="84" zoomScaleNormal="150" workbookViewId="0">
      <selection activeCell="B54" sqref="B54"/>
    </sheetView>
  </sheetViews>
  <sheetFormatPr defaultRowHeight="14.4" x14ac:dyDescent="0.3"/>
  <cols>
    <col min="1" max="1" width="22.21875" customWidth="1"/>
    <col min="2" max="2" width="40.6640625" customWidth="1"/>
    <col min="3" max="3" width="8.88671875" customWidth="1"/>
  </cols>
  <sheetData>
    <row r="1" spans="1:5" ht="15" customHeight="1" x14ac:dyDescent="0.3">
      <c r="A1" s="34" t="s">
        <v>38</v>
      </c>
      <c r="B1" s="34"/>
      <c r="C1" s="34"/>
      <c r="D1" s="34"/>
      <c r="E1" s="34"/>
    </row>
    <row r="2" spans="1:5" s="11" customFormat="1" ht="6" customHeight="1" thickBot="1" x14ac:dyDescent="0.35">
      <c r="A2" s="10"/>
      <c r="B2" s="10"/>
      <c r="C2" s="10"/>
      <c r="D2" s="10"/>
      <c r="E2" s="10"/>
    </row>
    <row r="3" spans="1:5" x14ac:dyDescent="0.3">
      <c r="A3" s="9" t="s">
        <v>0</v>
      </c>
      <c r="B3" s="42" t="s">
        <v>1</v>
      </c>
      <c r="C3" s="42"/>
      <c r="D3" s="42"/>
      <c r="E3" s="43"/>
    </row>
    <row r="4" spans="1:5" x14ac:dyDescent="0.3">
      <c r="A4" s="6" t="s">
        <v>2</v>
      </c>
      <c r="B4" s="36" t="s">
        <v>10</v>
      </c>
      <c r="C4" s="36"/>
      <c r="D4" s="36"/>
      <c r="E4" s="39"/>
    </row>
    <row r="5" spans="1:5" x14ac:dyDescent="0.3">
      <c r="A5" s="6" t="s">
        <v>3</v>
      </c>
      <c r="B5" s="36" t="s">
        <v>11</v>
      </c>
      <c r="C5" s="36"/>
      <c r="D5" s="36"/>
      <c r="E5" s="39"/>
    </row>
    <row r="6" spans="1:5" x14ac:dyDescent="0.3">
      <c r="A6" s="6" t="s">
        <v>4</v>
      </c>
      <c r="B6" s="36" t="s">
        <v>12</v>
      </c>
      <c r="C6" s="36"/>
      <c r="D6" s="36"/>
      <c r="E6" s="39"/>
    </row>
    <row r="7" spans="1:5" x14ac:dyDescent="0.3">
      <c r="A7" s="6" t="s">
        <v>8</v>
      </c>
      <c r="B7" s="36">
        <v>1981</v>
      </c>
      <c r="C7" s="36"/>
      <c r="D7" s="36"/>
      <c r="E7" s="39"/>
    </row>
    <row r="8" spans="1:5" x14ac:dyDescent="0.3">
      <c r="A8" s="6" t="s">
        <v>6</v>
      </c>
      <c r="B8" s="44" t="s">
        <v>14</v>
      </c>
      <c r="C8" s="44"/>
      <c r="D8" s="44"/>
      <c r="E8" s="45"/>
    </row>
    <row r="9" spans="1:5" x14ac:dyDescent="0.3">
      <c r="A9" s="6" t="s">
        <v>7</v>
      </c>
      <c r="B9" s="36" t="s">
        <v>13</v>
      </c>
      <c r="C9" s="36"/>
      <c r="D9" s="36"/>
      <c r="E9" s="39"/>
    </row>
    <row r="10" spans="1:5" x14ac:dyDescent="0.3">
      <c r="A10" s="6" t="s">
        <v>9</v>
      </c>
      <c r="B10" s="36" t="s">
        <v>15</v>
      </c>
      <c r="C10" s="36"/>
      <c r="D10" s="36"/>
      <c r="E10" s="39"/>
    </row>
    <row r="11" spans="1:5" ht="15" thickBot="1" x14ac:dyDescent="0.35">
      <c r="A11" s="7" t="s">
        <v>5</v>
      </c>
      <c r="B11" s="40" t="s">
        <v>16</v>
      </c>
      <c r="C11" s="40"/>
      <c r="D11" s="40"/>
      <c r="E11" s="41"/>
    </row>
    <row r="12" spans="1:5" ht="9.6" customHeight="1" x14ac:dyDescent="0.3"/>
    <row r="13" spans="1:5" ht="15.6" x14ac:dyDescent="0.3">
      <c r="A13" s="35" t="s">
        <v>18</v>
      </c>
      <c r="B13" s="35"/>
      <c r="C13" s="35"/>
      <c r="D13" s="35"/>
      <c r="E13" s="35"/>
    </row>
    <row r="14" spans="1:5" ht="14.4" customHeight="1" x14ac:dyDescent="0.3">
      <c r="A14" s="32" t="s">
        <v>19</v>
      </c>
      <c r="B14" s="32"/>
      <c r="C14" s="32"/>
      <c r="D14" s="32"/>
      <c r="E14" s="32"/>
    </row>
    <row r="15" spans="1:5" x14ac:dyDescent="0.3">
      <c r="A15" s="32"/>
      <c r="B15" s="32"/>
      <c r="C15" s="32"/>
      <c r="D15" s="32"/>
      <c r="E15" s="32"/>
    </row>
    <row r="16" spans="1:5" x14ac:dyDescent="0.3">
      <c r="A16" s="32"/>
      <c r="B16" s="32"/>
      <c r="C16" s="32"/>
      <c r="D16" s="32"/>
      <c r="E16" s="32"/>
    </row>
    <row r="17" spans="1:5" ht="15.6" x14ac:dyDescent="0.3">
      <c r="A17" s="31" t="s">
        <v>20</v>
      </c>
      <c r="B17" s="31"/>
      <c r="C17" s="31"/>
      <c r="D17" s="31"/>
      <c r="E17" s="31"/>
    </row>
    <row r="18" spans="1:5" ht="11.4" customHeight="1" x14ac:dyDescent="0.3">
      <c r="A18" s="32" t="s">
        <v>21</v>
      </c>
      <c r="B18" s="32"/>
      <c r="C18" s="32"/>
      <c r="D18" s="32"/>
      <c r="E18" s="32"/>
    </row>
    <row r="19" spans="1:5" x14ac:dyDescent="0.3">
      <c r="A19" s="32"/>
      <c r="B19" s="32"/>
      <c r="C19" s="32"/>
      <c r="D19" s="32"/>
      <c r="E19" s="32"/>
    </row>
    <row r="20" spans="1:5" x14ac:dyDescent="0.3">
      <c r="A20" s="32"/>
      <c r="B20" s="32"/>
      <c r="C20" s="32"/>
      <c r="D20" s="32"/>
      <c r="E20" s="32"/>
    </row>
    <row r="21" spans="1:5" x14ac:dyDescent="0.3">
      <c r="A21" s="32"/>
      <c r="B21" s="32"/>
      <c r="C21" s="32"/>
      <c r="D21" s="32"/>
      <c r="E21" s="32"/>
    </row>
    <row r="22" spans="1:5" x14ac:dyDescent="0.3">
      <c r="A22" s="32"/>
      <c r="B22" s="32"/>
      <c r="C22" s="32"/>
      <c r="D22" s="32"/>
      <c r="E22" s="32"/>
    </row>
    <row r="23" spans="1:5" x14ac:dyDescent="0.3">
      <c r="A23" s="32"/>
      <c r="B23" s="32"/>
      <c r="C23" s="32"/>
      <c r="D23" s="32"/>
      <c r="E23" s="32"/>
    </row>
    <row r="24" spans="1:5" ht="15.6" x14ac:dyDescent="0.3">
      <c r="A24" s="34" t="s">
        <v>17</v>
      </c>
      <c r="B24" s="34"/>
      <c r="C24" s="34"/>
      <c r="D24" s="34"/>
      <c r="E24" s="34"/>
    </row>
    <row r="25" spans="1:5" x14ac:dyDescent="0.3">
      <c r="A25" s="32" t="s">
        <v>22</v>
      </c>
      <c r="B25" s="32"/>
      <c r="C25" s="32"/>
      <c r="D25" s="32"/>
      <c r="E25" s="32"/>
    </row>
    <row r="26" spans="1:5" x14ac:dyDescent="0.3">
      <c r="A26" s="32"/>
      <c r="B26" s="32"/>
      <c r="C26" s="32"/>
      <c r="D26" s="32"/>
      <c r="E26" s="32"/>
    </row>
    <row r="27" spans="1:5" x14ac:dyDescent="0.3">
      <c r="A27" s="32"/>
      <c r="B27" s="32"/>
      <c r="C27" s="32"/>
      <c r="D27" s="32"/>
      <c r="E27" s="32"/>
    </row>
    <row r="28" spans="1:5" x14ac:dyDescent="0.3">
      <c r="A28" s="32"/>
      <c r="B28" s="32"/>
      <c r="C28" s="32"/>
      <c r="D28" s="32"/>
      <c r="E28" s="32"/>
    </row>
    <row r="29" spans="1:5" ht="15.6" x14ac:dyDescent="0.3">
      <c r="A29" s="31" t="s">
        <v>23</v>
      </c>
      <c r="B29" s="33"/>
      <c r="C29" s="33"/>
      <c r="D29" s="33"/>
      <c r="E29" s="33"/>
    </row>
    <row r="30" spans="1:5" ht="5.4" customHeight="1" x14ac:dyDescent="0.3">
      <c r="A30" s="8"/>
      <c r="B30" s="8"/>
      <c r="C30" s="8"/>
      <c r="D30" s="8"/>
      <c r="E30" s="8"/>
    </row>
    <row r="31" spans="1:5" x14ac:dyDescent="0.3">
      <c r="A31" s="8"/>
      <c r="B31" t="s">
        <v>24</v>
      </c>
      <c r="C31" s="8"/>
      <c r="D31" s="8"/>
      <c r="E31" s="8"/>
    </row>
    <row r="32" spans="1:5" x14ac:dyDescent="0.3">
      <c r="A32" s="8"/>
      <c r="B32" t="s">
        <v>25</v>
      </c>
      <c r="C32" s="8"/>
      <c r="D32" s="8"/>
      <c r="E32" s="8"/>
    </row>
    <row r="33" spans="1:5" x14ac:dyDescent="0.3">
      <c r="A33" s="8"/>
      <c r="B33" s="36" t="s">
        <v>26</v>
      </c>
      <c r="C33" s="36"/>
      <c r="D33" s="8"/>
      <c r="E33" s="8"/>
    </row>
    <row r="34" spans="1:5" x14ac:dyDescent="0.3">
      <c r="A34" s="1"/>
      <c r="B34" t="s">
        <v>27</v>
      </c>
      <c r="C34" s="1"/>
      <c r="D34" s="1"/>
      <c r="E34" s="1"/>
    </row>
    <row r="35" spans="1:5" x14ac:dyDescent="0.3">
      <c r="B35" t="s">
        <v>28</v>
      </c>
    </row>
    <row r="36" spans="1:5" x14ac:dyDescent="0.3">
      <c r="A36" s="1"/>
      <c r="B36" t="s">
        <v>29</v>
      </c>
      <c r="C36" s="1"/>
      <c r="D36" s="1"/>
      <c r="E36" s="1"/>
    </row>
    <row r="37" spans="1:5" x14ac:dyDescent="0.3">
      <c r="B37" t="s">
        <v>30</v>
      </c>
    </row>
    <row r="38" spans="1:5" x14ac:dyDescent="0.3">
      <c r="B38" t="s">
        <v>31</v>
      </c>
    </row>
    <row r="39" spans="1:5" ht="6.6" customHeight="1" x14ac:dyDescent="0.3"/>
    <row r="40" spans="1:5" ht="15.6" x14ac:dyDescent="0.3">
      <c r="A40" s="35" t="s">
        <v>32</v>
      </c>
      <c r="B40" s="35"/>
      <c r="C40" s="35"/>
      <c r="D40" s="35"/>
      <c r="E40" s="35"/>
    </row>
    <row r="41" spans="1:5" ht="7.8" customHeight="1" x14ac:dyDescent="0.3"/>
    <row r="42" spans="1:5" x14ac:dyDescent="0.3">
      <c r="A42" s="37" t="s">
        <v>33</v>
      </c>
      <c r="B42" s="37"/>
      <c r="C42" s="37"/>
      <c r="D42" s="37"/>
      <c r="E42" s="37"/>
    </row>
    <row r="43" spans="1:5" x14ac:dyDescent="0.3">
      <c r="A43" s="37" t="s">
        <v>36</v>
      </c>
      <c r="B43" s="37"/>
      <c r="C43" s="37"/>
      <c r="D43" s="37"/>
      <c r="E43" s="37"/>
    </row>
    <row r="44" spans="1:5" x14ac:dyDescent="0.3">
      <c r="A44" s="37" t="s">
        <v>37</v>
      </c>
      <c r="B44" s="37"/>
      <c r="C44" s="37"/>
      <c r="D44" s="37"/>
      <c r="E44" s="37"/>
    </row>
    <row r="45" spans="1:5" ht="6" customHeight="1" x14ac:dyDescent="0.3"/>
    <row r="46" spans="1:5" ht="15.6" x14ac:dyDescent="0.3">
      <c r="A46" s="38" t="s">
        <v>34</v>
      </c>
      <c r="B46" s="38"/>
      <c r="C46" s="38"/>
      <c r="D46" s="38"/>
      <c r="E46" s="38"/>
    </row>
    <row r="47" spans="1:5" ht="9.6" customHeight="1" x14ac:dyDescent="0.3">
      <c r="A47" s="32" t="s">
        <v>35</v>
      </c>
      <c r="B47" s="32"/>
      <c r="C47" s="32"/>
      <c r="D47" s="32"/>
      <c r="E47" s="32"/>
    </row>
    <row r="48" spans="1:5" x14ac:dyDescent="0.3">
      <c r="A48" s="32"/>
      <c r="B48" s="32"/>
      <c r="C48" s="32"/>
      <c r="D48" s="32"/>
      <c r="E48" s="32"/>
    </row>
    <row r="49" spans="1:5" x14ac:dyDescent="0.3">
      <c r="A49" s="32"/>
      <c r="B49" s="32"/>
      <c r="C49" s="32"/>
      <c r="D49" s="32"/>
      <c r="E49" s="32"/>
    </row>
    <row r="50" spans="1:5" x14ac:dyDescent="0.3">
      <c r="A50" s="32"/>
      <c r="B50" s="32"/>
      <c r="C50" s="32"/>
      <c r="D50" s="32"/>
      <c r="E50" s="32"/>
    </row>
  </sheetData>
  <mergeCells count="24">
    <mergeCell ref="A47:E50"/>
    <mergeCell ref="B33:C33"/>
    <mergeCell ref="A40:E40"/>
    <mergeCell ref="A42:E42"/>
    <mergeCell ref="A25:E28"/>
    <mergeCell ref="A43:E43"/>
    <mergeCell ref="A44:E44"/>
    <mergeCell ref="A46:E46"/>
    <mergeCell ref="A17:E17"/>
    <mergeCell ref="A14:E16"/>
    <mergeCell ref="A29:E29"/>
    <mergeCell ref="A1:E1"/>
    <mergeCell ref="A13:E13"/>
    <mergeCell ref="A18:E23"/>
    <mergeCell ref="A24:E24"/>
    <mergeCell ref="B9:E9"/>
    <mergeCell ref="B10:E10"/>
    <mergeCell ref="B11:E11"/>
    <mergeCell ref="B3:E3"/>
    <mergeCell ref="B4:E4"/>
    <mergeCell ref="B5:E5"/>
    <mergeCell ref="B6:E6"/>
    <mergeCell ref="B7:E7"/>
    <mergeCell ref="B8:E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54203-037F-46AA-9A0E-F76172BCA99C}">
  <dimension ref="A1:I22"/>
  <sheetViews>
    <sheetView zoomScale="115" workbookViewId="0">
      <selection activeCell="F14" sqref="F14"/>
    </sheetView>
  </sheetViews>
  <sheetFormatPr defaultRowHeight="14.4" x14ac:dyDescent="0.3"/>
  <cols>
    <col min="1" max="1" width="14.77734375" customWidth="1"/>
    <col min="2" max="2" width="27.44140625" customWidth="1"/>
    <col min="3" max="3" width="21.88671875" customWidth="1"/>
    <col min="4" max="4" width="11.88671875" style="12" customWidth="1"/>
    <col min="5" max="5" width="11.44140625" customWidth="1"/>
    <col min="6" max="6" width="23.6640625" customWidth="1"/>
    <col min="7" max="7" width="11.33203125" customWidth="1"/>
    <col min="8" max="8" width="17" style="12" customWidth="1"/>
    <col min="9" max="9" width="19.5546875" customWidth="1"/>
  </cols>
  <sheetData>
    <row r="1" spans="1:9" ht="33.6" customHeight="1" x14ac:dyDescent="0.3">
      <c r="A1" s="14" t="s">
        <v>39</v>
      </c>
      <c r="B1" s="14" t="s">
        <v>40</v>
      </c>
      <c r="C1" s="14" t="s">
        <v>70</v>
      </c>
      <c r="D1" s="15" t="s">
        <v>41</v>
      </c>
      <c r="E1" s="14" t="s">
        <v>42</v>
      </c>
      <c r="F1" s="14" t="s">
        <v>43</v>
      </c>
      <c r="G1" s="14" t="s">
        <v>44</v>
      </c>
      <c r="H1" s="15" t="s">
        <v>45</v>
      </c>
      <c r="I1" s="14" t="s">
        <v>46</v>
      </c>
    </row>
    <row r="2" spans="1:9" x14ac:dyDescent="0.3">
      <c r="A2" t="s">
        <v>47</v>
      </c>
      <c r="B2" t="s">
        <v>59</v>
      </c>
      <c r="C2" t="s">
        <v>68</v>
      </c>
      <c r="D2" s="12">
        <v>45777</v>
      </c>
      <c r="E2" t="s">
        <v>80</v>
      </c>
      <c r="F2" t="s">
        <v>85</v>
      </c>
      <c r="G2" t="s">
        <v>89</v>
      </c>
      <c r="H2" s="12">
        <v>45775</v>
      </c>
      <c r="I2" t="s">
        <v>102</v>
      </c>
    </row>
    <row r="3" spans="1:9" x14ac:dyDescent="0.3">
      <c r="A3" t="s">
        <v>48</v>
      </c>
      <c r="B3" t="s">
        <v>59</v>
      </c>
      <c r="C3" t="s">
        <v>68</v>
      </c>
      <c r="D3" s="12">
        <v>45869</v>
      </c>
      <c r="E3" t="s">
        <v>80</v>
      </c>
      <c r="F3" t="s">
        <v>85</v>
      </c>
      <c r="G3" t="s">
        <v>89</v>
      </c>
      <c r="H3" s="12">
        <v>45868</v>
      </c>
      <c r="I3" t="s">
        <v>102</v>
      </c>
    </row>
    <row r="4" spans="1:9" x14ac:dyDescent="0.3">
      <c r="A4" t="s">
        <v>49</v>
      </c>
      <c r="B4" t="s">
        <v>59</v>
      </c>
      <c r="C4" t="s">
        <v>68</v>
      </c>
      <c r="D4" s="12">
        <v>45961</v>
      </c>
      <c r="E4" t="s">
        <v>80</v>
      </c>
      <c r="F4" t="s">
        <v>85</v>
      </c>
      <c r="G4" t="s">
        <v>90</v>
      </c>
      <c r="I4" t="s">
        <v>101</v>
      </c>
    </row>
    <row r="5" spans="1:9" x14ac:dyDescent="0.3">
      <c r="A5" t="s">
        <v>50</v>
      </c>
      <c r="B5" t="s">
        <v>60</v>
      </c>
      <c r="C5" t="s">
        <v>69</v>
      </c>
      <c r="D5" s="12">
        <v>45930</v>
      </c>
      <c r="E5" t="s">
        <v>81</v>
      </c>
      <c r="F5" t="s">
        <v>86</v>
      </c>
      <c r="G5" t="s">
        <v>89</v>
      </c>
      <c r="H5" s="12">
        <v>45929</v>
      </c>
      <c r="I5" t="s">
        <v>100</v>
      </c>
    </row>
    <row r="6" spans="1:9" x14ac:dyDescent="0.3">
      <c r="A6" t="s">
        <v>51</v>
      </c>
      <c r="B6" t="s">
        <v>61</v>
      </c>
      <c r="C6" t="s">
        <v>71</v>
      </c>
      <c r="D6" s="12">
        <v>45960</v>
      </c>
      <c r="E6" t="s">
        <v>81</v>
      </c>
      <c r="F6" t="s">
        <v>87</v>
      </c>
      <c r="G6" t="s">
        <v>90</v>
      </c>
      <c r="I6" t="s">
        <v>99</v>
      </c>
    </row>
    <row r="7" spans="1:9" x14ac:dyDescent="0.3">
      <c r="A7" t="s">
        <v>52</v>
      </c>
      <c r="B7" t="s">
        <v>72</v>
      </c>
      <c r="C7" t="s">
        <v>73</v>
      </c>
      <c r="D7" s="12">
        <v>45990</v>
      </c>
      <c r="E7" t="s">
        <v>81</v>
      </c>
      <c r="F7" t="s">
        <v>85</v>
      </c>
      <c r="G7" t="s">
        <v>90</v>
      </c>
      <c r="I7" t="s">
        <v>98</v>
      </c>
    </row>
    <row r="8" spans="1:9" x14ac:dyDescent="0.3">
      <c r="A8" t="s">
        <v>53</v>
      </c>
      <c r="B8" t="s">
        <v>62</v>
      </c>
      <c r="C8" t="s">
        <v>74</v>
      </c>
      <c r="D8" s="12">
        <v>45930</v>
      </c>
      <c r="E8" t="s">
        <v>81</v>
      </c>
      <c r="F8" t="s">
        <v>88</v>
      </c>
      <c r="G8" t="s">
        <v>89</v>
      </c>
      <c r="H8" s="12">
        <v>45920</v>
      </c>
      <c r="I8" t="s">
        <v>97</v>
      </c>
    </row>
    <row r="9" spans="1:9" x14ac:dyDescent="0.3">
      <c r="A9" t="s">
        <v>54</v>
      </c>
      <c r="B9" t="s">
        <v>63</v>
      </c>
      <c r="C9" t="s">
        <v>75</v>
      </c>
      <c r="D9" s="12">
        <v>45838</v>
      </c>
      <c r="E9" t="s">
        <v>81</v>
      </c>
      <c r="F9" t="s">
        <v>87</v>
      </c>
      <c r="G9" t="s">
        <v>89</v>
      </c>
      <c r="H9" s="12">
        <v>45894</v>
      </c>
      <c r="I9" t="s">
        <v>96</v>
      </c>
    </row>
    <row r="10" spans="1:9" x14ac:dyDescent="0.3">
      <c r="A10" t="s">
        <v>55</v>
      </c>
      <c r="B10" t="s">
        <v>64</v>
      </c>
      <c r="C10" t="s">
        <v>76</v>
      </c>
      <c r="D10" s="12">
        <v>45777</v>
      </c>
      <c r="E10" t="s">
        <v>82</v>
      </c>
      <c r="F10" t="s">
        <v>87</v>
      </c>
      <c r="G10" t="s">
        <v>89</v>
      </c>
      <c r="H10" s="12">
        <v>45898</v>
      </c>
      <c r="I10" t="s">
        <v>95</v>
      </c>
    </row>
    <row r="11" spans="1:9" x14ac:dyDescent="0.3">
      <c r="A11" t="s">
        <v>56</v>
      </c>
      <c r="B11" t="s">
        <v>65</v>
      </c>
      <c r="C11" t="s">
        <v>78</v>
      </c>
      <c r="D11" s="12">
        <v>45762</v>
      </c>
      <c r="E11" t="s">
        <v>81</v>
      </c>
      <c r="F11" t="s">
        <v>88</v>
      </c>
      <c r="G11" t="s">
        <v>89</v>
      </c>
      <c r="H11" s="12">
        <v>45762</v>
      </c>
      <c r="I11" t="s">
        <v>94</v>
      </c>
    </row>
    <row r="12" spans="1:9" x14ac:dyDescent="0.3">
      <c r="A12" t="s">
        <v>57</v>
      </c>
      <c r="B12" t="s">
        <v>66</v>
      </c>
      <c r="C12" t="s">
        <v>77</v>
      </c>
      <c r="D12" s="12">
        <v>45930</v>
      </c>
      <c r="E12" t="s">
        <v>83</v>
      </c>
      <c r="F12" t="s">
        <v>86</v>
      </c>
      <c r="G12" t="s">
        <v>89</v>
      </c>
      <c r="H12" s="12">
        <v>45929</v>
      </c>
      <c r="I12" t="s">
        <v>93</v>
      </c>
    </row>
    <row r="13" spans="1:9" ht="28.8" x14ac:dyDescent="0.3">
      <c r="A13" s="1" t="s">
        <v>58</v>
      </c>
      <c r="B13" s="5" t="s">
        <v>67</v>
      </c>
      <c r="C13" s="3" t="s">
        <v>79</v>
      </c>
      <c r="D13" s="13">
        <v>46022</v>
      </c>
      <c r="E13" s="1" t="s">
        <v>84</v>
      </c>
      <c r="F13" s="1" t="s">
        <v>85</v>
      </c>
      <c r="G13" s="1" t="s">
        <v>91</v>
      </c>
      <c r="I13" s="1" t="s">
        <v>92</v>
      </c>
    </row>
    <row r="15" spans="1:9" x14ac:dyDescent="0.3">
      <c r="C15" s="8"/>
      <c r="F15" s="16" t="s">
        <v>103</v>
      </c>
      <c r="G15" s="16" t="s">
        <v>104</v>
      </c>
    </row>
    <row r="16" spans="1:9" x14ac:dyDescent="0.3">
      <c r="F16" s="17" t="s">
        <v>107</v>
      </c>
      <c r="G16" s="20">
        <f>COUNTA(tblcompliance[Compliance ID])</f>
        <v>12</v>
      </c>
    </row>
    <row r="17" spans="6:7" x14ac:dyDescent="0.3">
      <c r="F17" s="18" t="s">
        <v>89</v>
      </c>
      <c r="G17" s="21">
        <f>COUNTIF(tblcompliance[Status],"completed")</f>
        <v>8</v>
      </c>
    </row>
    <row r="18" spans="6:7" x14ac:dyDescent="0.3">
      <c r="F18" s="18" t="s">
        <v>90</v>
      </c>
      <c r="G18" s="21">
        <f>COUNTIF(tblcompliance[[#All],[Status]],"Pending")</f>
        <v>3</v>
      </c>
    </row>
    <row r="19" spans="6:7" x14ac:dyDescent="0.3">
      <c r="F19" s="18" t="s">
        <v>91</v>
      </c>
      <c r="G19" s="21">
        <f>COUNTIF(tblcompliance[[#All],[Status]],"in progress")</f>
        <v>1</v>
      </c>
    </row>
    <row r="20" spans="6:7" x14ac:dyDescent="0.3">
      <c r="F20" s="18" t="s">
        <v>105</v>
      </c>
      <c r="G20" s="22">
        <f>G17/G16</f>
        <v>0.66666666666666663</v>
      </c>
    </row>
    <row r="21" spans="6:7" x14ac:dyDescent="0.3">
      <c r="F21" s="18" t="s">
        <v>106</v>
      </c>
      <c r="G21" s="21">
        <f>COUNTIF(tblcompliance[[#All],[Frequency]],"annual")</f>
        <v>6</v>
      </c>
    </row>
    <row r="22" spans="6:7" x14ac:dyDescent="0.3">
      <c r="F22" s="19"/>
      <c r="G22" s="23"/>
    </row>
  </sheetData>
  <dataValidations count="2">
    <dataValidation type="list" allowBlank="1" showInputMessage="1" showErrorMessage="1" sqref="G1:G13" xr:uid="{43284917-3155-4437-8ACE-9B3E018E2369}">
      <formula1>"Completed, Pending, In Progress"</formula1>
    </dataValidation>
    <dataValidation type="list" allowBlank="1" showInputMessage="1" showErrorMessage="1" sqref="E2:E13" xr:uid="{EFA11B06-CE66-43AC-8DE7-40D3D080837D}">
      <formula1>"Annual,Quarterly,Half-Yearly,Monthly,Ongoing,As Applicable"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05302-BEBB-4BF0-A0A3-EC8FAF4912FD}">
  <dimension ref="A1:P73"/>
  <sheetViews>
    <sheetView showGridLines="0" tabSelected="1" zoomScale="73" zoomScaleNormal="59" workbookViewId="0">
      <selection activeCell="N28" sqref="N28"/>
    </sheetView>
  </sheetViews>
  <sheetFormatPr defaultRowHeight="14.4" x14ac:dyDescent="0.3"/>
  <cols>
    <col min="11" max="11" width="20" customWidth="1"/>
    <col min="12" max="12" width="13.44140625" customWidth="1"/>
    <col min="13" max="13" width="9.21875" customWidth="1"/>
    <col min="14" max="14" width="15.109375" customWidth="1"/>
    <col min="15" max="15" width="12.88671875" customWidth="1"/>
    <col min="16" max="16" width="26.109375" customWidth="1"/>
    <col min="17" max="17" width="12" customWidth="1"/>
    <col min="18" max="18" width="23.77734375" customWidth="1"/>
    <col min="19" max="19" width="18.88671875" customWidth="1"/>
    <col min="20" max="20" width="16" customWidth="1"/>
    <col min="21" max="21" width="18.44140625" customWidth="1"/>
    <col min="22" max="22" width="18.88671875" customWidth="1"/>
    <col min="23" max="23" width="16.109375" customWidth="1"/>
    <col min="24" max="24" width="12.5546875" bestFit="1" customWidth="1"/>
    <col min="25" max="25" width="27.109375" customWidth="1"/>
    <col min="27" max="27" width="18" customWidth="1"/>
    <col min="28" max="28" width="11" customWidth="1"/>
    <col min="29" max="29" width="9.6640625" customWidth="1"/>
    <col min="30" max="30" width="9.77734375" customWidth="1"/>
    <col min="31" max="31" width="10.5546875" customWidth="1"/>
  </cols>
  <sheetData>
    <row r="1" spans="1:16" ht="25.8" customHeight="1" x14ac:dyDescent="0.3">
      <c r="A1" s="49" t="s">
        <v>124</v>
      </c>
      <c r="B1" s="50"/>
      <c r="C1" s="50"/>
      <c r="D1" s="50"/>
      <c r="E1" s="50"/>
      <c r="F1" s="50"/>
      <c r="G1" s="50"/>
      <c r="H1" s="50"/>
      <c r="I1" s="50"/>
      <c r="J1" s="50"/>
    </row>
    <row r="2" spans="1:16" ht="13.2" customHeight="1" x14ac:dyDescent="0.3">
      <c r="A2" s="51" t="s">
        <v>125</v>
      </c>
      <c r="B2" s="51"/>
      <c r="C2" s="51"/>
      <c r="D2" s="51"/>
      <c r="E2" s="51"/>
      <c r="F2" s="51"/>
      <c r="G2" s="51"/>
      <c r="H2" s="51"/>
      <c r="I2" s="51"/>
      <c r="J2" s="51"/>
    </row>
    <row r="9" spans="1:16" ht="10.8" customHeight="1" x14ac:dyDescent="0.3">
      <c r="P9" s="25"/>
    </row>
    <row r="10" spans="1:16" ht="12" customHeight="1" x14ac:dyDescent="0.3">
      <c r="P10" s="25"/>
    </row>
    <row r="11" spans="1:16" x14ac:dyDescent="0.3">
      <c r="P11" s="25"/>
    </row>
    <row r="12" spans="1:16" x14ac:dyDescent="0.3">
      <c r="P12" s="25"/>
    </row>
    <row r="45" spans="11:15" ht="23.4" customHeight="1" x14ac:dyDescent="0.3"/>
    <row r="47" spans="11:15" x14ac:dyDescent="0.3">
      <c r="K47" s="52" t="s">
        <v>122</v>
      </c>
      <c r="L47" s="52"/>
      <c r="N47" s="53" t="s">
        <v>43</v>
      </c>
      <c r="O47" s="53"/>
    </row>
    <row r="48" spans="11:15" s="4" customFormat="1" ht="43.2" x14ac:dyDescent="0.3">
      <c r="K48" s="30" t="s">
        <v>108</v>
      </c>
      <c r="L48" s="4" t="s">
        <v>110</v>
      </c>
      <c r="N48" s="30" t="s">
        <v>108</v>
      </c>
      <c r="O48" s="4" t="s">
        <v>110</v>
      </c>
    </row>
    <row r="49" spans="11:15" x14ac:dyDescent="0.3">
      <c r="K49" s="2" t="s">
        <v>111</v>
      </c>
      <c r="L49">
        <v>3</v>
      </c>
      <c r="N49" s="2" t="s">
        <v>86</v>
      </c>
      <c r="O49">
        <v>2</v>
      </c>
    </row>
    <row r="50" spans="11:15" x14ac:dyDescent="0.3">
      <c r="K50" s="2" t="s">
        <v>112</v>
      </c>
      <c r="L50">
        <v>1</v>
      </c>
      <c r="N50" s="2" t="s">
        <v>85</v>
      </c>
      <c r="O50">
        <v>5</v>
      </c>
    </row>
    <row r="51" spans="11:15" x14ac:dyDescent="0.3">
      <c r="K51" s="2" t="s">
        <v>113</v>
      </c>
      <c r="L51">
        <v>1</v>
      </c>
      <c r="N51" s="2" t="s">
        <v>88</v>
      </c>
      <c r="O51">
        <v>2</v>
      </c>
    </row>
    <row r="52" spans="11:15" x14ac:dyDescent="0.3">
      <c r="K52" s="2" t="s">
        <v>114</v>
      </c>
      <c r="L52">
        <v>3</v>
      </c>
      <c r="N52" s="2" t="s">
        <v>87</v>
      </c>
      <c r="O52">
        <v>3</v>
      </c>
    </row>
    <row r="53" spans="11:15" x14ac:dyDescent="0.3">
      <c r="K53" s="2" t="s">
        <v>115</v>
      </c>
      <c r="L53">
        <v>2</v>
      </c>
      <c r="N53" s="2" t="s">
        <v>109</v>
      </c>
      <c r="O53">
        <v>12</v>
      </c>
    </row>
    <row r="54" spans="11:15" x14ac:dyDescent="0.3">
      <c r="K54" s="2" t="s">
        <v>116</v>
      </c>
      <c r="L54">
        <v>1</v>
      </c>
    </row>
    <row r="55" spans="11:15" x14ac:dyDescent="0.3">
      <c r="K55" s="2" t="s">
        <v>117</v>
      </c>
      <c r="L55">
        <v>1</v>
      </c>
    </row>
    <row r="56" spans="11:15" x14ac:dyDescent="0.3">
      <c r="K56" s="2" t="s">
        <v>109</v>
      </c>
      <c r="L56">
        <v>12</v>
      </c>
      <c r="N56" s="52" t="s">
        <v>120</v>
      </c>
      <c r="O56" s="52"/>
    </row>
    <row r="57" spans="11:15" s="5" customFormat="1" ht="19.2" customHeight="1" x14ac:dyDescent="0.3">
      <c r="N57" s="29" t="s">
        <v>108</v>
      </c>
      <c r="O57" s="27" t="s">
        <v>110</v>
      </c>
    </row>
    <row r="58" spans="11:15" x14ac:dyDescent="0.3">
      <c r="K58" s="48" t="s">
        <v>121</v>
      </c>
      <c r="L58" s="48"/>
      <c r="N58" s="2" t="s">
        <v>81</v>
      </c>
      <c r="O58">
        <v>6</v>
      </c>
    </row>
    <row r="59" spans="11:15" ht="16.2" customHeight="1" x14ac:dyDescent="0.3">
      <c r="K59" s="28" t="s">
        <v>108</v>
      </c>
      <c r="L59" s="26" t="s">
        <v>110</v>
      </c>
      <c r="N59" s="2" t="s">
        <v>83</v>
      </c>
      <c r="O59">
        <v>1</v>
      </c>
    </row>
    <row r="60" spans="11:15" x14ac:dyDescent="0.3">
      <c r="K60" s="2" t="s">
        <v>89</v>
      </c>
      <c r="L60">
        <v>8</v>
      </c>
      <c r="N60" s="2" t="s">
        <v>82</v>
      </c>
      <c r="O60">
        <v>1</v>
      </c>
    </row>
    <row r="61" spans="11:15" x14ac:dyDescent="0.3">
      <c r="K61" s="2" t="s">
        <v>91</v>
      </c>
      <c r="L61">
        <v>1</v>
      </c>
      <c r="N61" s="2" t="s">
        <v>84</v>
      </c>
      <c r="O61">
        <v>1</v>
      </c>
    </row>
    <row r="62" spans="11:15" x14ac:dyDescent="0.3">
      <c r="K62" s="2" t="s">
        <v>90</v>
      </c>
      <c r="L62">
        <v>3</v>
      </c>
      <c r="N62" s="2" t="s">
        <v>80</v>
      </c>
      <c r="O62">
        <v>3</v>
      </c>
    </row>
    <row r="63" spans="11:15" x14ac:dyDescent="0.3">
      <c r="K63" s="2" t="s">
        <v>109</v>
      </c>
      <c r="L63">
        <v>12</v>
      </c>
      <c r="N63" s="2" t="s">
        <v>109</v>
      </c>
      <c r="O63">
        <v>12</v>
      </c>
    </row>
    <row r="66" spans="11:15" x14ac:dyDescent="0.3">
      <c r="K66" s="46" t="s">
        <v>123</v>
      </c>
      <c r="L66" s="47"/>
      <c r="M66" s="47"/>
      <c r="N66" s="47"/>
      <c r="O66" s="47"/>
    </row>
    <row r="67" spans="11:15" x14ac:dyDescent="0.3">
      <c r="K67" s="24" t="s">
        <v>118</v>
      </c>
      <c r="L67" s="24" t="s">
        <v>119</v>
      </c>
    </row>
    <row r="68" spans="11:15" x14ac:dyDescent="0.3">
      <c r="K68" s="24" t="s">
        <v>108</v>
      </c>
      <c r="L68" s="26" t="s">
        <v>89</v>
      </c>
      <c r="M68" s="26" t="s">
        <v>91</v>
      </c>
      <c r="N68" s="26" t="s">
        <v>90</v>
      </c>
      <c r="O68" s="26" t="s">
        <v>109</v>
      </c>
    </row>
    <row r="69" spans="11:15" x14ac:dyDescent="0.3">
      <c r="K69" s="2" t="s">
        <v>86</v>
      </c>
      <c r="L69">
        <v>2</v>
      </c>
      <c r="O69">
        <v>2</v>
      </c>
    </row>
    <row r="70" spans="11:15" x14ac:dyDescent="0.3">
      <c r="K70" s="2" t="s">
        <v>85</v>
      </c>
      <c r="L70">
        <v>2</v>
      </c>
      <c r="M70">
        <v>1</v>
      </c>
      <c r="N70">
        <v>2</v>
      </c>
      <c r="O70">
        <v>5</v>
      </c>
    </row>
    <row r="71" spans="11:15" x14ac:dyDescent="0.3">
      <c r="K71" s="2" t="s">
        <v>88</v>
      </c>
      <c r="L71">
        <v>2</v>
      </c>
      <c r="O71">
        <v>2</v>
      </c>
    </row>
    <row r="72" spans="11:15" x14ac:dyDescent="0.3">
      <c r="K72" s="2" t="s">
        <v>87</v>
      </c>
      <c r="L72">
        <v>2</v>
      </c>
      <c r="N72">
        <v>1</v>
      </c>
      <c r="O72">
        <v>3</v>
      </c>
    </row>
    <row r="73" spans="11:15" x14ac:dyDescent="0.3">
      <c r="K73" s="2" t="s">
        <v>109</v>
      </c>
      <c r="L73">
        <v>8</v>
      </c>
      <c r="M73">
        <v>1</v>
      </c>
      <c r="N73">
        <v>3</v>
      </c>
      <c r="O73">
        <v>12</v>
      </c>
    </row>
  </sheetData>
  <mergeCells count="7">
    <mergeCell ref="K66:O66"/>
    <mergeCell ref="K58:L58"/>
    <mergeCell ref="A1:J1"/>
    <mergeCell ref="A2:J2"/>
    <mergeCell ref="N56:O56"/>
    <mergeCell ref="N47:O47"/>
    <mergeCell ref="K47:L47"/>
  </mergeCells>
  <pageMargins left="0.7" right="0.7" top="0.75" bottom="0.75" header="0.3" footer="0.3"/>
  <pageSetup orientation="portrait" r:id="rId6"/>
  <drawing r:id="rId7"/>
  <extLst>
    <ext xmlns:x15="http://schemas.microsoft.com/office/spreadsheetml/2010/11/main" uri="{3A4CF648-6AED-40f4-86FF-DC5316D8AED3}">
      <x14:slicerList xmlns:x14="http://schemas.microsoft.com/office/spreadsheetml/2009/9/main">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Company Overview</vt:lpstr>
      <vt:lpstr>Compliance Tracker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Archana N</dc:creator>
  <cp:lastModifiedBy>Archana N</cp:lastModifiedBy>
  <cp:lastPrinted>2026-08-06T16:10:55Z</cp:lastPrinted>
  <dcterms:created xsi:type="dcterms:W3CDTF">2026-08-06T03:42:18Z</dcterms:created>
  <dcterms:modified xsi:type="dcterms:W3CDTF">2026-08-07T05:49:23Z</dcterms:modified>
</cp:coreProperties>
</file>