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u\Downloads\"/>
    </mc:Choice>
  </mc:AlternateContent>
  <xr:revisionPtr revIDLastSave="0" documentId="13_ncr:1_{05236EAB-4C2E-4882-A4D4-085460374273}" xr6:coauthVersionLast="47" xr6:coauthVersionMax="47" xr10:uidLastSave="{00000000-0000-0000-0000-000000000000}"/>
  <bookViews>
    <workbookView xWindow="-108" yWindow="-108" windowWidth="23256" windowHeight="12456" activeTab="5" xr2:uid="{38C9CC74-7AD9-4C3C-BE9F-B8C8A5ABA068}"/>
  </bookViews>
  <sheets>
    <sheet name="Company Overview" sheetId="6" r:id="rId1"/>
    <sheet name="Income Statement" sheetId="3" r:id="rId2"/>
    <sheet name="Balance Sheet" sheetId="4" r:id="rId3"/>
    <sheet name="Cash Flow" sheetId="5" r:id="rId4"/>
    <sheet name="Ratio Analysis" sheetId="2" r:id="rId5"/>
    <sheet name="Dashboard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7" l="1"/>
  <c r="T35" i="7"/>
  <c r="T33" i="7"/>
  <c r="S35" i="7"/>
  <c r="S34" i="7"/>
  <c r="S33" i="7"/>
  <c r="P35" i="7"/>
  <c r="P34" i="7"/>
  <c r="P33" i="7"/>
  <c r="O35" i="7"/>
  <c r="O34" i="7"/>
  <c r="O33" i="7"/>
  <c r="N35" i="7"/>
  <c r="N34" i="7"/>
  <c r="N33" i="7"/>
  <c r="T21" i="7"/>
  <c r="T20" i="7"/>
  <c r="T19" i="7"/>
  <c r="S21" i="7"/>
  <c r="S20" i="7"/>
  <c r="S19" i="7"/>
  <c r="R21" i="7"/>
  <c r="R20" i="7"/>
  <c r="R19" i="7"/>
  <c r="O21" i="7"/>
  <c r="O20" i="7"/>
  <c r="N21" i="7"/>
  <c r="N20" i="7"/>
  <c r="O19" i="7"/>
  <c r="N19" i="7"/>
  <c r="O11" i="7"/>
  <c r="S11" i="7"/>
  <c r="S10" i="7"/>
  <c r="S9" i="7"/>
  <c r="O9" i="7"/>
  <c r="O10" i="7"/>
  <c r="D7" i="2"/>
  <c r="C7" i="2"/>
  <c r="B7" i="2"/>
  <c r="D6" i="2"/>
  <c r="C6" i="2"/>
  <c r="B6" i="2"/>
  <c r="D5" i="2"/>
  <c r="C5" i="2"/>
  <c r="B5" i="2"/>
  <c r="D4" i="2"/>
  <c r="C4" i="2"/>
  <c r="B4" i="2"/>
</calcChain>
</file>

<file path=xl/sharedStrings.xml><?xml version="1.0" encoding="utf-8"?>
<sst xmlns="http://schemas.openxmlformats.org/spreadsheetml/2006/main" count="97" uniqueCount="62">
  <si>
    <t>FY 2025</t>
  </si>
  <si>
    <t>FY 2024</t>
  </si>
  <si>
    <t>FY 2023</t>
  </si>
  <si>
    <t>Particulars</t>
  </si>
  <si>
    <t>Revenue</t>
  </si>
  <si>
    <t>Profit Before Tax</t>
  </si>
  <si>
    <t>Net Profit</t>
  </si>
  <si>
    <t>Total Assets</t>
  </si>
  <si>
    <t>Total Liabilities</t>
  </si>
  <si>
    <t>Total Equity</t>
  </si>
  <si>
    <t>Operating Activities</t>
  </si>
  <si>
    <t>Investing Activities</t>
  </si>
  <si>
    <t>Financing Activities</t>
  </si>
  <si>
    <t>unit: ₹ crore</t>
  </si>
  <si>
    <t>COMPANY OVERVIEW - INFOSYS LIMITTED</t>
  </si>
  <si>
    <t>Industry</t>
  </si>
  <si>
    <t>Headquarters</t>
  </si>
  <si>
    <t>Founded</t>
  </si>
  <si>
    <t>CEO</t>
  </si>
  <si>
    <t>Employees</t>
  </si>
  <si>
    <t>Stock Exchange</t>
  </si>
  <si>
    <t>Company Name</t>
  </si>
  <si>
    <t>Infosys limitted</t>
  </si>
  <si>
    <t>Information Technology Services</t>
  </si>
  <si>
    <t>Bengaluru, Karnataka, India</t>
  </si>
  <si>
    <t>Salil Parekh</t>
  </si>
  <si>
    <t>323,000+</t>
  </si>
  <si>
    <t>NSE &amp; BSE</t>
  </si>
  <si>
    <t>Founders</t>
  </si>
  <si>
    <t>N.R. Narayana Murthy and six co-founders</t>
  </si>
  <si>
    <t>Business Segments</t>
  </si>
  <si>
    <t xml:space="preserve">Digital Services, Consulting, Cloud, AI, Engineering Services, Business Process </t>
  </si>
  <si>
    <t>OBJECTIVE</t>
  </si>
  <si>
    <t>To analyze the financial performance of Infosys ltd using its annual report by evaluating revenue, profitability, financial position, cash flows, and key financial ratios over three financial years.</t>
  </si>
  <si>
    <t>PARTICULARS</t>
  </si>
  <si>
    <t>DETAILS</t>
  </si>
  <si>
    <t>COMPANY DESCRIPTION</t>
  </si>
  <si>
    <t>Infosys ltd is a global information technology &amp; counsulting company headquartered in Bengaluru, India. It provides digital transformation, cloud, artificial intelligence, engineering, and business consulting services to clients across various industries worldwide.</t>
  </si>
  <si>
    <t>WHY I SELECTED THIS COMPANY</t>
  </si>
  <si>
    <t>&gt; Leading Indian IT company with global operations
&gt; Transparent and comprehensive annual reports.
&gt; Suitable for financial statement and ratio analysis.</t>
  </si>
  <si>
    <t>TOOLS USED</t>
  </si>
  <si>
    <t>&gt; Microsoft Excel 2021
&gt; Infosys Annual Report FY 2025
&gt; Financial Statement Analysis
&gt; Ratio Analysis</t>
  </si>
  <si>
    <t>Ratio</t>
  </si>
  <si>
    <t>Net Profit Margin</t>
  </si>
  <si>
    <t>Return on Equity (ROE)</t>
  </si>
  <si>
    <t>Return on Assets (ROA)</t>
  </si>
  <si>
    <t>Debt-to-Equity Ratio</t>
  </si>
  <si>
    <t>INCOME STATEMENT</t>
  </si>
  <si>
    <t>BALANCE SHEET</t>
  </si>
  <si>
    <t>CASH FLOW</t>
  </si>
  <si>
    <t>RATIO ANALYSIS</t>
  </si>
  <si>
    <t xml:space="preserve">Asset </t>
  </si>
  <si>
    <t>Liability</t>
  </si>
  <si>
    <t>Net profit</t>
  </si>
  <si>
    <t xml:space="preserve">Operating </t>
  </si>
  <si>
    <t>Investing</t>
  </si>
  <si>
    <t>Financing</t>
  </si>
  <si>
    <t>ROE</t>
  </si>
  <si>
    <t>ROA</t>
  </si>
  <si>
    <r>
      <t>Source:</t>
    </r>
    <r>
      <rPr>
        <sz val="9"/>
        <color theme="1"/>
        <rFont val="Calibri"/>
        <family val="2"/>
        <scheme val="minor"/>
      </rPr>
      <t xml:space="preserve"> Infosys Annual Reports (FY2023–FY2025) | Dashboard created using Microsoft Excel 2021</t>
    </r>
  </si>
  <si>
    <t>INFOSYS LIMITTED - FINANCIAL PERFORMANCE DASHBOARD</t>
  </si>
  <si>
    <r>
      <rPr>
        <b/>
        <sz val="11"/>
        <color theme="1"/>
        <rFont val="Calibri"/>
        <family val="2"/>
        <scheme val="minor"/>
      </rPr>
      <t xml:space="preserve">(FY 2025 | All Financial values are in </t>
    </r>
    <r>
      <rPr>
        <b/>
        <sz val="11"/>
        <color theme="1"/>
        <rFont val="Calibri"/>
        <family val="2"/>
      </rPr>
      <t>₹ crore)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</si>
</sst>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4" fillId="0" borderId="0" xfId="0" applyFont="1"/>
    <xf numFmtId="0" fontId="0" fillId="3" borderId="0" xfId="0" applyFill="1"/>
    <xf numFmtId="0" fontId="2" fillId="0" borderId="0" xfId="0" applyFont="1"/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wrapText="1"/>
    </xf>
    <xf numFmtId="0" fontId="4" fillId="0" borderId="7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7" fillId="4" borderId="10" xfId="0" applyFont="1" applyFill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/>
    <xf numFmtId="0" fontId="4" fillId="3" borderId="0" xfId="0" applyFont="1" applyFill="1" applyAlignment="1">
      <alignment vertical="center" wrapText="1"/>
    </xf>
    <xf numFmtId="0" fontId="6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wrapText="1"/>
    </xf>
    <xf numFmtId="10" fontId="0" fillId="0" borderId="0" xfId="0" applyNumberFormat="1"/>
    <xf numFmtId="1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6" fillId="2" borderId="5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6" fillId="2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64" fontId="3" fillId="0" borderId="0" xfId="1" applyNumberFormat="1" applyFont="1" applyAlignment="1">
      <alignment horizontal="right"/>
    </xf>
    <xf numFmtId="0" fontId="9" fillId="5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3943827241701"/>
          <c:y val="0.1301931735721038"/>
          <c:w val="0.68099564959013614"/>
          <c:h val="0.6098808942189781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Dashboard!$N$9:$N$11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Dashboard!$O$9:$O$11</c:f>
              <c:numCache>
                <c:formatCode>#,##0</c:formatCode>
                <c:ptCount val="3"/>
                <c:pt idx="0">
                  <c:v>146767</c:v>
                </c:pt>
                <c:pt idx="1">
                  <c:v>153670</c:v>
                </c:pt>
                <c:pt idx="2">
                  <c:v>162990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9A2-AD89-8CBBA9E4C9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27877247"/>
        <c:axId val="1073657103"/>
      </c:lineChart>
      <c:catAx>
        <c:axId val="122787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720801068171542"/>
              <c:y val="0.86560825792658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57103"/>
        <c:crosses val="autoZero"/>
        <c:auto val="1"/>
        <c:lblAlgn val="ctr"/>
        <c:lblOffset val="100"/>
        <c:noMultiLvlLbl val="0"/>
      </c:catAx>
      <c:valAx>
        <c:axId val="107365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r>
                  <a:rPr lang="en-IN" baseline="0"/>
                  <a:t> ₹ crore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7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86639230619435"/>
          <c:y val="0.13719282681363584"/>
          <c:w val="0.7487704890952207"/>
          <c:h val="0.70676518623993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Dashboard!$R$9:$R$11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Dashboard!$S$9:$S$11</c:f>
              <c:numCache>
                <c:formatCode>#,##0</c:formatCode>
                <c:ptCount val="3"/>
                <c:pt idx="0">
                  <c:v>24108</c:v>
                </c:pt>
                <c:pt idx="1">
                  <c:v>26248</c:v>
                </c:pt>
                <c:pt idx="2">
                  <c:v>26750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F-48C8-A133-402E5297C4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0214271"/>
        <c:axId val="1236712783"/>
      </c:barChart>
      <c:catAx>
        <c:axId val="112021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12783"/>
        <c:crosses val="autoZero"/>
        <c:auto val="1"/>
        <c:lblAlgn val="ctr"/>
        <c:lblOffset val="100"/>
        <c:noMultiLvlLbl val="0"/>
      </c:catAx>
      <c:valAx>
        <c:axId val="12367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1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618941853202225"/>
          <c:y val="0.20483971848707899"/>
          <c:w val="0.71714704795517437"/>
          <c:h val="0.64041064472930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Dashboard!$N$18</c:f>
              <c:strCache>
                <c:ptCount val="1"/>
                <c:pt idx="0">
                  <c:v>Asset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Dashboard!$M$19:$M$21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Dashboard!$N$19:$N$21</c:f>
              <c:numCache>
                <c:formatCode>#,##0</c:formatCode>
                <c:ptCount val="3"/>
                <c:pt idx="0">
                  <c:v>125816</c:v>
                </c:pt>
                <c:pt idx="1">
                  <c:v>137814</c:v>
                </c:pt>
                <c:pt idx="2">
                  <c:v>148903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6-4573-8245-8633202B86FE}"/>
            </c:ext>
          </c:extLst>
        </c:ser>
        <c:ser>
          <c:idx val="1"/>
          <c:order val="1"/>
          <c:tx>
            <c:strRef>
              <c:f>Dashboard!$O$18</c:f>
              <c:strCache>
                <c:ptCount val="1"/>
                <c:pt idx="0">
                  <c:v>Liability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Dashboard!$M$19:$M$21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Dashboard!$O$19:$O$21</c:f>
              <c:numCache>
                <c:formatCode>#,##0</c:formatCode>
                <c:ptCount val="3"/>
                <c:pt idx="0">
                  <c:v>39186</c:v>
                </c:pt>
                <c:pt idx="1">
                  <c:v>38794</c:v>
                </c:pt>
                <c:pt idx="2">
                  <c:v>42850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6-4573-8245-8633202B86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62356751"/>
        <c:axId val="1236685903"/>
      </c:barChart>
      <c:catAx>
        <c:axId val="136235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85903"/>
        <c:crosses val="autoZero"/>
        <c:auto val="1"/>
        <c:lblAlgn val="ctr"/>
        <c:lblOffset val="100"/>
        <c:noMultiLvlLbl val="0"/>
      </c:catAx>
      <c:valAx>
        <c:axId val="12366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35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61582994720786"/>
          <c:y val="0.18713633671300653"/>
          <c:w val="0.82794709574251424"/>
          <c:h val="0.66917348788760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Dashboard!$Q$19</c:f>
              <c:strCache>
                <c:ptCount val="1"/>
                <c:pt idx="0">
                  <c:v>FY 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Dashboard!$R$18:$T$18</c:f>
              <c:strCache>
                <c:ptCount val="3"/>
                <c:pt idx="0">
                  <c:v>Operating </c:v>
                </c:pt>
                <c:pt idx="1">
                  <c:v>Investing</c:v>
                </c:pt>
                <c:pt idx="2">
                  <c:v>Financing</c:v>
                </c:pt>
              </c:strCache>
            </c:strRef>
          </c:cat>
          <c:val>
            <c:numRef>
              <c:f>Dashboard!$R$19:$T$19</c:f>
              <c:numCache>
                <c:formatCode>#,##0</c:formatCode>
                <c:ptCount val="3"/>
                <c:pt idx="0">
                  <c:v>22467</c:v>
                </c:pt>
                <c:pt idx="1">
                  <c:v>-1209</c:v>
                </c:pt>
                <c:pt idx="2">
                  <c:v>-26695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1-4A81-8F33-BCE1E3D19C11}"/>
            </c:ext>
          </c:extLst>
        </c:ser>
        <c:ser>
          <c:idx val="1"/>
          <c:order val="1"/>
          <c:tx>
            <c:strRef>
              <c:f>Dashboard!$Q$20</c:f>
              <c:strCache>
                <c:ptCount val="1"/>
                <c:pt idx="0">
                  <c:v>FY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Dashboard!$R$18:$T$18</c:f>
              <c:strCache>
                <c:ptCount val="3"/>
                <c:pt idx="0">
                  <c:v>Operating </c:v>
                </c:pt>
                <c:pt idx="1">
                  <c:v>Investing</c:v>
                </c:pt>
                <c:pt idx="2">
                  <c:v>Financing</c:v>
                </c:pt>
              </c:strCache>
            </c:strRef>
          </c:cat>
          <c:val>
            <c:numRef>
              <c:f>Dashboard!$R$20:$T$20</c:f>
              <c:numCache>
                <c:formatCode>#,##0</c:formatCode>
                <c:ptCount val="3"/>
                <c:pt idx="0">
                  <c:v>25210</c:v>
                </c:pt>
                <c:pt idx="1">
                  <c:v>-5009</c:v>
                </c:pt>
                <c:pt idx="2">
                  <c:v>-17504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1-4A81-8F33-BCE1E3D19C11}"/>
            </c:ext>
          </c:extLst>
        </c:ser>
        <c:ser>
          <c:idx val="2"/>
          <c:order val="2"/>
          <c:tx>
            <c:strRef>
              <c:f>Dashboard!$Q$21</c:f>
              <c:strCache>
                <c:ptCount val="1"/>
                <c:pt idx="0">
                  <c:v>FY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Dashboard!$R$18:$T$18</c:f>
              <c:strCache>
                <c:ptCount val="3"/>
                <c:pt idx="0">
                  <c:v>Operating </c:v>
                </c:pt>
                <c:pt idx="1">
                  <c:v>Investing</c:v>
                </c:pt>
                <c:pt idx="2">
                  <c:v>Financing</c:v>
                </c:pt>
              </c:strCache>
            </c:strRef>
          </c:cat>
          <c:val>
            <c:numRef>
              <c:f>Dashboard!$R$21:$T$21</c:f>
              <c:numCache>
                <c:formatCode>#,##0</c:formatCode>
                <c:ptCount val="3"/>
                <c:pt idx="0">
                  <c:v>35694</c:v>
                </c:pt>
                <c:pt idx="1">
                  <c:v>-1946</c:v>
                </c:pt>
                <c:pt idx="2">
                  <c:v>-24161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1-4A81-8F33-BCE1E3D19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3815023"/>
        <c:axId val="1236749263"/>
      </c:barChart>
      <c:catAx>
        <c:axId val="1383815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49263"/>
        <c:crosses val="autoZero"/>
        <c:auto val="1"/>
        <c:lblAlgn val="ctr"/>
        <c:lblOffset val="100"/>
        <c:noMultiLvlLbl val="0"/>
      </c:catAx>
      <c:valAx>
        <c:axId val="123674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81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661435204757229"/>
          <c:y val="1.5258389410918038E-2"/>
          <c:w val="0.61789656100091883"/>
          <c:h val="9.8226782918773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40675072571261"/>
          <c:y val="0.23667464767755608"/>
          <c:w val="0.70891651427767621"/>
          <c:h val="0.480398958784344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Dashboard!$N$32</c:f>
              <c:strCache>
                <c:ptCount val="1"/>
                <c:pt idx="0">
                  <c:v>FY 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Dashboard!$M$33:$M$36</c:f>
              <c:strCache>
                <c:ptCount val="3"/>
                <c:pt idx="0">
                  <c:v>Net profit</c:v>
                </c:pt>
                <c:pt idx="1">
                  <c:v>ROE</c:v>
                </c:pt>
                <c:pt idx="2">
                  <c:v>ROA</c:v>
                </c:pt>
              </c:strCache>
            </c:strRef>
          </c:cat>
          <c:val>
            <c:numRef>
              <c:f>Dashboard!$N$33:$N$36</c:f>
              <c:numCache>
                <c:formatCode>0.00%</c:formatCode>
                <c:ptCount val="4"/>
                <c:pt idx="0">
                  <c:v>0.16426035825492105</c:v>
                </c:pt>
                <c:pt idx="1">
                  <c:v>0.31806847417375816</c:v>
                </c:pt>
                <c:pt idx="2">
                  <c:v>0.19161314936097157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4-4E9E-AADB-7D95F3538DE2}"/>
            </c:ext>
          </c:extLst>
        </c:ser>
        <c:ser>
          <c:idx val="1"/>
          <c:order val="1"/>
          <c:tx>
            <c:strRef>
              <c:f>Dashboard!$O$32</c:f>
              <c:strCache>
                <c:ptCount val="1"/>
                <c:pt idx="0">
                  <c:v>FY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Dashboard!$M$33:$M$36</c:f>
              <c:strCache>
                <c:ptCount val="3"/>
                <c:pt idx="0">
                  <c:v>Net profit</c:v>
                </c:pt>
                <c:pt idx="1">
                  <c:v>ROE</c:v>
                </c:pt>
                <c:pt idx="2">
                  <c:v>ROA</c:v>
                </c:pt>
              </c:strCache>
            </c:strRef>
          </c:cat>
          <c:val>
            <c:numRef>
              <c:f>Dashboard!$O$33:$O$36</c:f>
              <c:numCache>
                <c:formatCode>0.00%</c:formatCode>
                <c:ptCount val="4"/>
                <c:pt idx="0">
                  <c:v>0.17080757467300059</c:v>
                </c:pt>
                <c:pt idx="1">
                  <c:v>0.29671832785069124</c:v>
                </c:pt>
                <c:pt idx="2">
                  <c:v>0.19045960497482115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4-4E9E-AADB-7D95F3538DE2}"/>
            </c:ext>
          </c:extLst>
        </c:ser>
        <c:ser>
          <c:idx val="2"/>
          <c:order val="2"/>
          <c:tx>
            <c:strRef>
              <c:f>Dashboard!$P$32</c:f>
              <c:strCache>
                <c:ptCount val="1"/>
                <c:pt idx="0">
                  <c:v>FY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Dashboard!$M$33:$M$36</c:f>
              <c:strCache>
                <c:ptCount val="3"/>
                <c:pt idx="0">
                  <c:v>Net profit</c:v>
                </c:pt>
                <c:pt idx="1">
                  <c:v>ROE</c:v>
                </c:pt>
                <c:pt idx="2">
                  <c:v>ROA</c:v>
                </c:pt>
              </c:strCache>
            </c:strRef>
          </c:cat>
          <c:val>
            <c:numRef>
              <c:f>Dashboard!$P$33:$P$36</c:f>
              <c:numCache>
                <c:formatCode>0.00%</c:formatCode>
                <c:ptCount val="4"/>
                <c:pt idx="0">
                  <c:v>0.16412049819007302</c:v>
                </c:pt>
                <c:pt idx="1">
                  <c:v>0.2780578568235918</c:v>
                </c:pt>
                <c:pt idx="2">
                  <c:v>0.17964715284446922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34-4E9E-AADB-7D95F3538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7686383"/>
        <c:axId val="1236729103"/>
      </c:barChart>
      <c:catAx>
        <c:axId val="13876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29103"/>
        <c:crosses val="autoZero"/>
        <c:auto val="1"/>
        <c:lblAlgn val="ctr"/>
        <c:lblOffset val="100"/>
        <c:noMultiLvlLbl val="0"/>
      </c:catAx>
      <c:valAx>
        <c:axId val="123672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8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662951252573561"/>
          <c:y val="1.9202811170592783E-2"/>
          <c:w val="0.7073135224355398"/>
          <c:h val="0.160893255837348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72684748619872"/>
          <c:y val="0.30749091449089272"/>
          <c:w val="0.72670312860166386"/>
          <c:h val="0.466263565716296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Dashboard!$S$32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Dashboard!$R$33:$R$35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Dashboard!$S$33:$S$35</c:f>
              <c:numCache>
                <c:formatCode>#,##0</c:formatCode>
                <c:ptCount val="3"/>
                <c:pt idx="0">
                  <c:v>146767</c:v>
                </c:pt>
                <c:pt idx="1">
                  <c:v>153670</c:v>
                </c:pt>
                <c:pt idx="2">
                  <c:v>162990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3-4F75-8060-A6DDE157277B}"/>
            </c:ext>
          </c:extLst>
        </c:ser>
        <c:ser>
          <c:idx val="1"/>
          <c:order val="1"/>
          <c:tx>
            <c:strRef>
              <c:f>Dashboard!$T$32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Dashboard!$R$33:$R$35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Dashboard!$T$33:$T$35</c:f>
              <c:numCache>
                <c:formatCode>#,##0</c:formatCode>
                <c:ptCount val="3"/>
                <c:pt idx="0">
                  <c:v>24108</c:v>
                </c:pt>
                <c:pt idx="1">
                  <c:v>26248</c:v>
                </c:pt>
                <c:pt idx="2">
                  <c:v>26750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3-4F75-8060-A6DDE157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7702159"/>
        <c:axId val="1227443823"/>
      </c:barChart>
      <c:catAx>
        <c:axId val="138770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43823"/>
        <c:crosses val="autoZero"/>
        <c:auto val="1"/>
        <c:lblAlgn val="ctr"/>
        <c:lblOffset val="100"/>
        <c:noMultiLvlLbl val="0"/>
      </c:catAx>
      <c:valAx>
        <c:axId val="122744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0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13982</xdr:colOff>
      <xdr:row>2</xdr:row>
      <xdr:rowOff>0</xdr:rowOff>
    </xdr:from>
    <xdr:to>
      <xdr:col>1</xdr:col>
      <xdr:colOff>478700</xdr:colOff>
      <xdr:row>4</xdr:row>
      <xdr:rowOff>150302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65FAAD7-DC19-FE08-09F7-9F0E56005898}"/>
            </a:ext>
          </a:extLst>
        </xdr:cNvPr>
        <xdr:cNvSpPr/>
      </xdr:nvSpPr>
      <xdr:spPr>
        <a:xfrm>
          <a:off x="13982" y="541443"/>
          <a:ext cx="1072920" cy="51766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1"/>
              </a:solidFill>
            </a:rPr>
            <a:t>REVENUE</a:t>
          </a:r>
        </a:p>
      </xdr:txBody>
    </xdr:sp>
    <xdr:clientData/>
  </xdr:twoCellAnchor>
  <xdr:twoCellAnchor>
    <xdr:from>
      <xdr:col>1</xdr:col>
      <xdr:colOff>531648</xdr:colOff>
      <xdr:row>2</xdr:row>
      <xdr:rowOff>0</xdr:rowOff>
    </xdr:from>
    <xdr:to>
      <xdr:col>3</xdr:col>
      <xdr:colOff>442805</xdr:colOff>
      <xdr:row>4</xdr:row>
      <xdr:rowOff>143313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80528BD-064D-4DA6-AE3E-474568E1E7F9}"/>
            </a:ext>
          </a:extLst>
        </xdr:cNvPr>
        <xdr:cNvSpPr/>
      </xdr:nvSpPr>
      <xdr:spPr>
        <a:xfrm>
          <a:off x="1139850" y="544940"/>
          <a:ext cx="1127561" cy="50718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NET PROFIT</a:t>
          </a:r>
        </a:p>
      </xdr:txBody>
    </xdr:sp>
    <xdr:clientData/>
  </xdr:twoCellAnchor>
  <xdr:twoCellAnchor>
    <xdr:from>
      <xdr:col>3</xdr:col>
      <xdr:colOff>520739</xdr:colOff>
      <xdr:row>2</xdr:row>
      <xdr:rowOff>2994</xdr:rowOff>
    </xdr:from>
    <xdr:to>
      <xdr:col>5</xdr:col>
      <xdr:colOff>390922</xdr:colOff>
      <xdr:row>4</xdr:row>
      <xdr:rowOff>136321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FDB3542-7E1B-44E6-9421-57F15CB372A7}"/>
            </a:ext>
          </a:extLst>
        </xdr:cNvPr>
        <xdr:cNvSpPr/>
      </xdr:nvSpPr>
      <xdr:spPr>
        <a:xfrm>
          <a:off x="2345345" y="604205"/>
          <a:ext cx="1086586" cy="4968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</a:t>
          </a:r>
          <a:r>
            <a:rPr lang="en-IN" sz="1100" b="1" baseline="0"/>
            <a:t> ASSETS</a:t>
          </a:r>
          <a:endParaRPr lang="en-IN" sz="1100" b="1"/>
        </a:p>
      </xdr:txBody>
    </xdr:sp>
    <xdr:clientData/>
  </xdr:twoCellAnchor>
  <xdr:twoCellAnchor>
    <xdr:from>
      <xdr:col>5</xdr:col>
      <xdr:colOff>447022</xdr:colOff>
      <xdr:row>2</xdr:row>
      <xdr:rowOff>13905</xdr:rowOff>
    </xdr:from>
    <xdr:to>
      <xdr:col>7</xdr:col>
      <xdr:colOff>320623</xdr:colOff>
      <xdr:row>4</xdr:row>
      <xdr:rowOff>139818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CDFDCDB-9089-42D0-88E2-09FB247F899F}"/>
            </a:ext>
          </a:extLst>
        </xdr:cNvPr>
        <xdr:cNvSpPr/>
      </xdr:nvSpPr>
      <xdr:spPr>
        <a:xfrm>
          <a:off x="3488031" y="559189"/>
          <a:ext cx="1090005" cy="48943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ROE</a:t>
          </a:r>
        </a:p>
      </xdr:txBody>
    </xdr:sp>
    <xdr:clientData/>
  </xdr:twoCellAnchor>
  <xdr:twoCellAnchor>
    <xdr:from>
      <xdr:col>7</xdr:col>
      <xdr:colOff>365125</xdr:colOff>
      <xdr:row>2</xdr:row>
      <xdr:rowOff>0</xdr:rowOff>
    </xdr:from>
    <xdr:to>
      <xdr:col>9</xdr:col>
      <xdr:colOff>600074</xdr:colOff>
      <xdr:row>4</xdr:row>
      <xdr:rowOff>122339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4F1D4D6-0F18-4A2A-840B-251A2FF9F946}"/>
            </a:ext>
          </a:extLst>
        </xdr:cNvPr>
        <xdr:cNvSpPr/>
      </xdr:nvSpPr>
      <xdr:spPr>
        <a:xfrm>
          <a:off x="4632325" y="425450"/>
          <a:ext cx="1454149" cy="49063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NET</a:t>
          </a:r>
          <a:r>
            <a:rPr lang="en-IN" sz="1100" b="1" baseline="0"/>
            <a:t> PROFIT MARGIN</a:t>
          </a:r>
          <a:endParaRPr lang="en-IN" sz="1100" b="1"/>
        </a:p>
      </xdr:txBody>
    </xdr:sp>
    <xdr:clientData/>
  </xdr:twoCellAnchor>
  <xdr:twoCellAnchor>
    <xdr:from>
      <xdr:col>0</xdr:col>
      <xdr:colOff>185461</xdr:colOff>
      <xdr:row>3</xdr:row>
      <xdr:rowOff>94013</xdr:rowOff>
    </xdr:from>
    <xdr:to>
      <xdr:col>1</xdr:col>
      <xdr:colOff>283128</xdr:colOff>
      <xdr:row>4</xdr:row>
      <xdr:rowOff>69800</xdr:rowOff>
    </xdr:to>
    <xdr:sp macro="" textlink="'Income Statement'!B4">
      <xdr:nvSpPr>
        <xdr:cNvPr id="12" name="TextBox 11">
          <a:extLst>
            <a:ext uri="{FF2B5EF4-FFF2-40B4-BE49-F238E27FC236}">
              <a16:creationId xmlns:a16="http://schemas.microsoft.com/office/drawing/2014/main" id="{10305327-7B29-8C7F-C236-7B517148AE54}"/>
            </a:ext>
          </a:extLst>
        </xdr:cNvPr>
        <xdr:cNvSpPr txBox="1"/>
      </xdr:nvSpPr>
      <xdr:spPr>
        <a:xfrm>
          <a:off x="185461" y="905494"/>
          <a:ext cx="706277" cy="158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15B198-6DBD-4E9D-A7C4-67854E776136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162,990</a:t>
          </a:fld>
          <a:endParaRPr lang="en-IN" sz="1100" b="1"/>
        </a:p>
      </xdr:txBody>
    </xdr:sp>
    <xdr:clientData/>
  </xdr:twoCellAnchor>
  <xdr:twoCellAnchor>
    <xdr:from>
      <xdr:col>2</xdr:col>
      <xdr:colOff>91946</xdr:colOff>
      <xdr:row>3</xdr:row>
      <xdr:rowOff>98961</xdr:rowOff>
    </xdr:from>
    <xdr:to>
      <xdr:col>3</xdr:col>
      <xdr:colOff>266215</xdr:colOff>
      <xdr:row>4</xdr:row>
      <xdr:rowOff>69954</xdr:rowOff>
    </xdr:to>
    <xdr:sp macro="" textlink="'Income Statement'!B6">
      <xdr:nvSpPr>
        <xdr:cNvPr id="14" name="TextBox 13">
          <a:extLst>
            <a:ext uri="{FF2B5EF4-FFF2-40B4-BE49-F238E27FC236}">
              <a16:creationId xmlns:a16="http://schemas.microsoft.com/office/drawing/2014/main" id="{8B5BAE42-7ECF-4218-887A-98C96144F1B3}"/>
            </a:ext>
          </a:extLst>
        </xdr:cNvPr>
        <xdr:cNvSpPr txBox="1"/>
      </xdr:nvSpPr>
      <xdr:spPr>
        <a:xfrm>
          <a:off x="1309167" y="910442"/>
          <a:ext cx="782879" cy="154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D0D66CA-4945-4C16-80C8-965A5C819D48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26,750</a:t>
          </a:fld>
          <a:endParaRPr lang="en-IN" sz="1100" b="1"/>
        </a:p>
      </xdr:txBody>
    </xdr:sp>
    <xdr:clientData/>
  </xdr:twoCellAnchor>
  <xdr:twoCellAnchor>
    <xdr:from>
      <xdr:col>4</xdr:col>
      <xdr:colOff>86253</xdr:colOff>
      <xdr:row>3</xdr:row>
      <xdr:rowOff>94012</xdr:rowOff>
    </xdr:from>
    <xdr:to>
      <xdr:col>5</xdr:col>
      <xdr:colOff>255740</xdr:colOff>
      <xdr:row>4</xdr:row>
      <xdr:rowOff>83780</xdr:rowOff>
    </xdr:to>
    <xdr:sp macro="" textlink="'Balance Sheet'!B4">
      <xdr:nvSpPr>
        <xdr:cNvPr id="16" name="TextBox 15">
          <a:extLst>
            <a:ext uri="{FF2B5EF4-FFF2-40B4-BE49-F238E27FC236}">
              <a16:creationId xmlns:a16="http://schemas.microsoft.com/office/drawing/2014/main" id="{E6BD4409-876E-4FAF-9D36-45948EF0F5D7}"/>
            </a:ext>
          </a:extLst>
        </xdr:cNvPr>
        <xdr:cNvSpPr txBox="1"/>
      </xdr:nvSpPr>
      <xdr:spPr>
        <a:xfrm>
          <a:off x="2520695" y="905493"/>
          <a:ext cx="778097" cy="1728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7539719-072C-486D-8686-3629EA3F25E8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148,903</a:t>
          </a:fld>
          <a:endParaRPr lang="en-IN" sz="1100" b="1"/>
        </a:p>
      </xdr:txBody>
    </xdr:sp>
    <xdr:clientData/>
  </xdr:twoCellAnchor>
  <xdr:twoCellAnchor>
    <xdr:from>
      <xdr:col>6</xdr:col>
      <xdr:colOff>10485</xdr:colOff>
      <xdr:row>3</xdr:row>
      <xdr:rowOff>79167</xdr:rowOff>
    </xdr:from>
    <xdr:to>
      <xdr:col>7</xdr:col>
      <xdr:colOff>163285</xdr:colOff>
      <xdr:row>4</xdr:row>
      <xdr:rowOff>66695</xdr:rowOff>
    </xdr:to>
    <xdr:sp macro="" textlink="'Ratio Analysis'!B5">
      <xdr:nvSpPr>
        <xdr:cNvPr id="18" name="TextBox 17">
          <a:extLst>
            <a:ext uri="{FF2B5EF4-FFF2-40B4-BE49-F238E27FC236}">
              <a16:creationId xmlns:a16="http://schemas.microsoft.com/office/drawing/2014/main" id="{96EADC32-79BF-4E75-ACD7-6FEC35D23E88}"/>
            </a:ext>
          </a:extLst>
        </xdr:cNvPr>
        <xdr:cNvSpPr txBox="1"/>
      </xdr:nvSpPr>
      <xdr:spPr>
        <a:xfrm>
          <a:off x="3662147" y="890648"/>
          <a:ext cx="761411" cy="170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1DEBE0-043C-4340-B3A3-FD8846AAE44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27.81%</a:t>
          </a:fld>
          <a:endParaRPr lang="en-IN" sz="1100" b="1"/>
        </a:p>
      </xdr:txBody>
    </xdr:sp>
    <xdr:clientData/>
  </xdr:twoCellAnchor>
  <xdr:twoCellAnchor>
    <xdr:from>
      <xdr:col>8</xdr:col>
      <xdr:colOff>103909</xdr:colOff>
      <xdr:row>3</xdr:row>
      <xdr:rowOff>77885</xdr:rowOff>
    </xdr:from>
    <xdr:to>
      <xdr:col>9</xdr:col>
      <xdr:colOff>285387</xdr:colOff>
      <xdr:row>4</xdr:row>
      <xdr:rowOff>67635</xdr:rowOff>
    </xdr:to>
    <xdr:sp macro="" textlink="'Ratio Analysis'!B4">
      <xdr:nvSpPr>
        <xdr:cNvPr id="20" name="TextBox 19">
          <a:extLst>
            <a:ext uri="{FF2B5EF4-FFF2-40B4-BE49-F238E27FC236}">
              <a16:creationId xmlns:a16="http://schemas.microsoft.com/office/drawing/2014/main" id="{43DA76B1-3C9F-49DF-9BBA-C06DCE73F39E}"/>
            </a:ext>
          </a:extLst>
        </xdr:cNvPr>
        <xdr:cNvSpPr txBox="1"/>
      </xdr:nvSpPr>
      <xdr:spPr>
        <a:xfrm>
          <a:off x="4972792" y="889366"/>
          <a:ext cx="790089" cy="172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44CCDA-5305-4483-BFB9-AEE25B03D6C3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16.41%</a:t>
          </a:fld>
          <a:endParaRPr lang="en-IN" sz="1100" b="1"/>
        </a:p>
      </xdr:txBody>
    </xdr:sp>
    <xdr:clientData/>
  </xdr:twoCellAnchor>
  <xdr:twoCellAnchor>
    <xdr:from>
      <xdr:col>0</xdr:col>
      <xdr:colOff>11814</xdr:colOff>
      <xdr:row>5</xdr:row>
      <xdr:rowOff>19924</xdr:rowOff>
    </xdr:from>
    <xdr:to>
      <xdr:col>4</xdr:col>
      <xdr:colOff>601990</xdr:colOff>
      <xdr:row>15</xdr:row>
      <xdr:rowOff>98003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6EAF263-30C2-0CD0-75A2-38176D8948D1}"/>
            </a:ext>
          </a:extLst>
        </xdr:cNvPr>
        <xdr:cNvSpPr/>
      </xdr:nvSpPr>
      <xdr:spPr>
        <a:xfrm>
          <a:off x="11814" y="1000482"/>
          <a:ext cx="3023850" cy="185017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REVENUE</a:t>
          </a:r>
          <a:r>
            <a:rPr lang="en-IN" sz="1200" b="1" baseline="0"/>
            <a:t> TREND (FY 2023-2025)</a:t>
          </a:r>
          <a:endParaRPr lang="en-IN" sz="1200" b="1"/>
        </a:p>
      </xdr:txBody>
    </xdr:sp>
    <xdr:clientData/>
  </xdr:twoCellAnchor>
  <xdr:twoCellAnchor>
    <xdr:from>
      <xdr:col>0</xdr:col>
      <xdr:colOff>180815</xdr:colOff>
      <xdr:row>7</xdr:row>
      <xdr:rowOff>89646</xdr:rowOff>
    </xdr:from>
    <xdr:to>
      <xdr:col>4</xdr:col>
      <xdr:colOff>277092</xdr:colOff>
      <xdr:row>14</xdr:row>
      <xdr:rowOff>112569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81AC4E-934E-7A29-FBD6-DC8BE34E7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598873</xdr:colOff>
      <xdr:row>5</xdr:row>
      <xdr:rowOff>17170</xdr:rowOff>
    </xdr:from>
    <xdr:to>
      <xdr:col>9</xdr:col>
      <xdr:colOff>571500</xdr:colOff>
      <xdr:row>15</xdr:row>
      <xdr:rowOff>77932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FC6CA9A-422C-4B67-8187-ECD3683FCBAA}"/>
            </a:ext>
          </a:extLst>
        </xdr:cNvPr>
        <xdr:cNvSpPr/>
      </xdr:nvSpPr>
      <xdr:spPr>
        <a:xfrm>
          <a:off x="3023418" y="1177488"/>
          <a:ext cx="3003309" cy="1879171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NET PROFIT</a:t>
          </a:r>
          <a:r>
            <a:rPr lang="en-IN" sz="1200" b="1" baseline="0"/>
            <a:t> TREND (FY 2023-2025)</a:t>
          </a:r>
          <a:endParaRPr lang="en-IN" sz="1200" b="1"/>
        </a:p>
      </xdr:txBody>
    </xdr:sp>
    <xdr:clientData/>
  </xdr:twoCellAnchor>
  <xdr:twoCellAnchor>
    <xdr:from>
      <xdr:col>5</xdr:col>
      <xdr:colOff>303069</xdr:colOff>
      <xdr:row>7</xdr:row>
      <xdr:rowOff>16896</xdr:rowOff>
    </xdr:from>
    <xdr:to>
      <xdr:col>9</xdr:col>
      <xdr:colOff>451295</xdr:colOff>
      <xdr:row>14</xdr:row>
      <xdr:rowOff>164524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2B7AED-1FB0-B1C6-209C-6DED198A2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11814</xdr:colOff>
      <xdr:row>15</xdr:row>
      <xdr:rowOff>174678</xdr:rowOff>
    </xdr:from>
    <xdr:to>
      <xdr:col>4</xdr:col>
      <xdr:colOff>601990</xdr:colOff>
      <xdr:row>28</xdr:row>
      <xdr:rowOff>25994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2A9D4AB-863A-49D7-AE41-44CA4F9FC20D}"/>
            </a:ext>
          </a:extLst>
        </xdr:cNvPr>
        <xdr:cNvSpPr/>
      </xdr:nvSpPr>
      <xdr:spPr>
        <a:xfrm>
          <a:off x="11814" y="2927329"/>
          <a:ext cx="3023850" cy="223182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ASSETS VS LIABILITIES </a:t>
          </a:r>
          <a:r>
            <a:rPr lang="en-IN" sz="1200" b="1" baseline="0"/>
            <a:t>(FY 2023-2025)</a:t>
          </a:r>
          <a:endParaRPr lang="en-IN" sz="1200" b="1"/>
        </a:p>
      </xdr:txBody>
    </xdr:sp>
    <xdr:clientData/>
  </xdr:twoCellAnchor>
  <xdr:twoCellAnchor>
    <xdr:from>
      <xdr:col>4</xdr:col>
      <xdr:colOff>596002</xdr:colOff>
      <xdr:row>15</xdr:row>
      <xdr:rowOff>161442</xdr:rowOff>
    </xdr:from>
    <xdr:to>
      <xdr:col>9</xdr:col>
      <xdr:colOff>573590</xdr:colOff>
      <xdr:row>27</xdr:row>
      <xdr:rowOff>177209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4FF5290-F33F-4403-9A5E-971175F178B0}"/>
            </a:ext>
          </a:extLst>
        </xdr:cNvPr>
        <xdr:cNvSpPr/>
      </xdr:nvSpPr>
      <xdr:spPr>
        <a:xfrm>
          <a:off x="3029676" y="2914093"/>
          <a:ext cx="3019681" cy="221316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CASH FLOW ANALYSIS </a:t>
          </a:r>
          <a:r>
            <a:rPr lang="en-IN" sz="1200" b="1" baseline="0"/>
            <a:t>(FY 2023-2025)</a:t>
          </a:r>
          <a:endParaRPr lang="en-IN" sz="1200" b="1"/>
        </a:p>
      </xdr:txBody>
    </xdr:sp>
    <xdr:clientData/>
  </xdr:twoCellAnchor>
  <xdr:twoCellAnchor>
    <xdr:from>
      <xdr:col>0</xdr:col>
      <xdr:colOff>186460</xdr:colOff>
      <xdr:row>18</xdr:row>
      <xdr:rowOff>22142</xdr:rowOff>
    </xdr:from>
    <xdr:to>
      <xdr:col>4</xdr:col>
      <xdr:colOff>388167</xdr:colOff>
      <xdr:row>27</xdr:row>
      <xdr:rowOff>14671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5FCF025-909D-3AB9-57E0-5F3E4109B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133951</xdr:colOff>
      <xdr:row>18</xdr:row>
      <xdr:rowOff>38878</xdr:rowOff>
    </xdr:from>
    <xdr:to>
      <xdr:col>9</xdr:col>
      <xdr:colOff>449392</xdr:colOff>
      <xdr:row>27</xdr:row>
      <xdr:rowOff>40054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25DA51A-6A67-170C-17B5-194DA803C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11814</xdr:colOff>
      <xdr:row>28</xdr:row>
      <xdr:rowOff>103910</xdr:rowOff>
    </xdr:from>
    <xdr:to>
      <xdr:col>4</xdr:col>
      <xdr:colOff>601990</xdr:colOff>
      <xdr:row>38</xdr:row>
      <xdr:rowOff>25952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A1C50833-E80F-4E6E-9815-2D6B870E00E3}"/>
            </a:ext>
          </a:extLst>
        </xdr:cNvPr>
        <xdr:cNvSpPr/>
      </xdr:nvSpPr>
      <xdr:spPr>
        <a:xfrm>
          <a:off x="11814" y="5237073"/>
          <a:ext cx="3023850" cy="1936321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RATIO COMPARISON </a:t>
          </a:r>
          <a:r>
            <a:rPr lang="en-IN" sz="1200" b="1" baseline="0"/>
            <a:t>(FY 2023-2025)</a:t>
          </a:r>
          <a:endParaRPr lang="en-IN" sz="1200" b="1"/>
        </a:p>
      </xdr:txBody>
    </xdr:sp>
    <xdr:clientData/>
  </xdr:twoCellAnchor>
  <xdr:twoCellAnchor>
    <xdr:from>
      <xdr:col>0</xdr:col>
      <xdr:colOff>257828</xdr:colOff>
      <xdr:row>31</xdr:row>
      <xdr:rowOff>14717</xdr:rowOff>
    </xdr:from>
    <xdr:to>
      <xdr:col>4</xdr:col>
      <xdr:colOff>315446</xdr:colOff>
      <xdr:row>37</xdr:row>
      <xdr:rowOff>60530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2EEEA29-56D7-9389-FFE5-128E3A6C3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597478</xdr:colOff>
      <xdr:row>28</xdr:row>
      <xdr:rowOff>94510</xdr:rowOff>
    </xdr:from>
    <xdr:to>
      <xdr:col>9</xdr:col>
      <xdr:colOff>581517</xdr:colOff>
      <xdr:row>38</xdr:row>
      <xdr:rowOff>17316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BA46DE63-1D6F-482B-8A39-3BB789CB146A}"/>
            </a:ext>
          </a:extLst>
        </xdr:cNvPr>
        <xdr:cNvSpPr/>
      </xdr:nvSpPr>
      <xdr:spPr>
        <a:xfrm>
          <a:off x="3031152" y="5227673"/>
          <a:ext cx="3026132" cy="193708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REVENUE VS NET PROFIT </a:t>
          </a:r>
          <a:r>
            <a:rPr lang="en-IN" sz="1200" b="1" baseline="0"/>
            <a:t>(FY 2023-2025)</a:t>
          </a:r>
          <a:endParaRPr lang="en-IN" sz="1200" b="1"/>
        </a:p>
      </xdr:txBody>
    </xdr:sp>
    <xdr:clientData/>
  </xdr:twoCellAnchor>
  <xdr:twoCellAnchor>
    <xdr:from>
      <xdr:col>5</xdr:col>
      <xdr:colOff>234583</xdr:colOff>
      <xdr:row>30</xdr:row>
      <xdr:rowOff>174487</xdr:rowOff>
    </xdr:from>
    <xdr:to>
      <xdr:col>9</xdr:col>
      <xdr:colOff>366767</xdr:colOff>
      <xdr:row>36</xdr:row>
      <xdr:rowOff>135611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E66CCC1-F8E4-4F6C-A1A3-CD714874D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11546</xdr:colOff>
      <xdr:row>38</xdr:row>
      <xdr:rowOff>99528</xdr:rowOff>
    </xdr:from>
    <xdr:to>
      <xdr:col>9</xdr:col>
      <xdr:colOff>585451</xdr:colOff>
      <xdr:row>45</xdr:row>
      <xdr:rowOff>5571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A2E2DFEB-1B96-6999-E6BE-23508B25270E}"/>
            </a:ext>
          </a:extLst>
        </xdr:cNvPr>
        <xdr:cNvSpPr/>
      </xdr:nvSpPr>
      <xdr:spPr>
        <a:xfrm>
          <a:off x="11546" y="7246970"/>
          <a:ext cx="6049672" cy="1187857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50" b="1">
              <a:solidFill>
                <a:schemeClr val="bg1"/>
              </a:solidFill>
            </a:rPr>
            <a:t>KEY INSIGHTS</a:t>
          </a:r>
        </a:p>
        <a:p>
          <a:pPr algn="l"/>
          <a:r>
            <a:rPr lang="en-IN" sz="1050" b="1">
              <a:solidFill>
                <a:schemeClr val="bg1"/>
              </a:solidFill>
            </a:rPr>
            <a:t>&gt;</a:t>
          </a:r>
          <a:r>
            <a:rPr lang="en-IN" sz="1050"/>
            <a:t> Revenue increased steadily over the three financial years.</a:t>
          </a:r>
        </a:p>
        <a:p>
          <a:pPr algn="l"/>
          <a:r>
            <a:rPr lang="en-IN" sz="1050" b="1">
              <a:solidFill>
                <a:schemeClr val="bg1"/>
              </a:solidFill>
            </a:rPr>
            <a:t>&gt;</a:t>
          </a:r>
          <a:r>
            <a:rPr lang="en-IN" sz="1050" b="1"/>
            <a:t> </a:t>
          </a:r>
          <a:r>
            <a:rPr lang="en-IN" sz="1050" b="0"/>
            <a:t>The company maintained positive operating cash flows and a healthy return on equity, reflecting</a:t>
          </a:r>
          <a:r>
            <a:rPr lang="en-IN" sz="1050" b="0" baseline="0"/>
            <a:t> </a:t>
          </a:r>
          <a:r>
            <a:rPr lang="en-IN" sz="1050" b="0"/>
            <a:t>strong financial performance.</a:t>
          </a:r>
        </a:p>
        <a:p>
          <a:pPr algn="l"/>
          <a:r>
            <a:rPr lang="en-IN" sz="1050" b="1">
              <a:solidFill>
                <a:schemeClr val="bg1"/>
              </a:solidFill>
            </a:rPr>
            <a:t>&gt;</a:t>
          </a:r>
          <a:r>
            <a:rPr lang="en-IN" sz="1050"/>
            <a:t> Assets increased over the three-year period while liabilities remained at a manageable level, supporting</a:t>
          </a:r>
          <a:r>
            <a:rPr lang="en-IN" sz="1050" baseline="0"/>
            <a:t> </a:t>
          </a:r>
          <a:r>
            <a:rPr lang="en-IN" sz="1050"/>
            <a:t>financial stability.</a:t>
          </a:r>
          <a:endParaRPr lang="en-IN" sz="105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899C-AA0A-430D-BA7E-A5BD10B59112}">
  <sheetPr>
    <pageSetUpPr fitToPage="1"/>
  </sheetPr>
  <dimension ref="A1:I35"/>
  <sheetViews>
    <sheetView showGridLines="0" showWhiteSpace="0" topLeftCell="A26" zoomScale="105" zoomScaleNormal="189" zoomScalePageLayoutView="61" workbookViewId="0">
      <selection activeCell="F27" sqref="F27"/>
    </sheetView>
  </sheetViews>
  <sheetFormatPr defaultRowHeight="23.4" x14ac:dyDescent="0.45"/>
  <cols>
    <col min="1" max="1" width="29.109375" style="4" customWidth="1"/>
    <col min="2" max="2" width="62" style="4" customWidth="1"/>
  </cols>
  <sheetData>
    <row r="1" spans="1:9" ht="26.4" customHeight="1" x14ac:dyDescent="0.3">
      <c r="A1" s="32" t="s">
        <v>14</v>
      </c>
      <c r="B1" s="32"/>
      <c r="C1" s="32"/>
      <c r="D1" s="5"/>
      <c r="E1" s="19"/>
      <c r="F1" s="19"/>
      <c r="G1" s="19"/>
      <c r="H1" s="5"/>
      <c r="I1" s="5"/>
    </row>
    <row r="2" spans="1:9" ht="26.4" customHeight="1" x14ac:dyDescent="0.3">
      <c r="A2" s="13" t="s">
        <v>34</v>
      </c>
      <c r="B2" s="16" t="s">
        <v>35</v>
      </c>
      <c r="C2" s="14"/>
      <c r="D2" s="19"/>
      <c r="E2" s="19"/>
      <c r="F2" s="19"/>
      <c r="G2" s="19"/>
      <c r="H2" s="5"/>
      <c r="I2" s="5"/>
    </row>
    <row r="3" spans="1:9" ht="28.2" customHeight="1" x14ac:dyDescent="0.45">
      <c r="A3" s="8" t="s">
        <v>21</v>
      </c>
      <c r="B3" s="17" t="s">
        <v>22</v>
      </c>
      <c r="C3" s="9"/>
      <c r="D3" s="20"/>
      <c r="E3" s="20"/>
      <c r="F3" s="20"/>
      <c r="G3" s="20"/>
      <c r="H3" s="5"/>
      <c r="I3" s="5"/>
    </row>
    <row r="4" spans="1:9" x14ac:dyDescent="0.3">
      <c r="A4" s="10" t="s">
        <v>15</v>
      </c>
      <c r="B4" s="18" t="s">
        <v>23</v>
      </c>
      <c r="C4" s="11"/>
      <c r="D4" s="21"/>
      <c r="E4" s="21"/>
      <c r="F4" s="21"/>
      <c r="G4" s="19"/>
    </row>
    <row r="5" spans="1:9" x14ac:dyDescent="0.3">
      <c r="A5" s="10" t="s">
        <v>16</v>
      </c>
      <c r="B5" s="18" t="s">
        <v>24</v>
      </c>
      <c r="C5" s="11"/>
      <c r="D5" s="21"/>
      <c r="E5" s="21"/>
      <c r="F5" s="21"/>
      <c r="G5" s="21"/>
    </row>
    <row r="6" spans="1:9" x14ac:dyDescent="0.3">
      <c r="A6" s="10" t="s">
        <v>17</v>
      </c>
      <c r="B6" s="15">
        <v>1981</v>
      </c>
      <c r="C6" s="11"/>
      <c r="D6" s="21"/>
      <c r="E6" s="21"/>
      <c r="F6" s="21"/>
      <c r="G6" s="21"/>
    </row>
    <row r="7" spans="1:9" x14ac:dyDescent="0.3">
      <c r="A7" s="10" t="s">
        <v>28</v>
      </c>
      <c r="B7" s="15" t="s">
        <v>29</v>
      </c>
      <c r="C7" s="11"/>
      <c r="D7" s="21"/>
      <c r="E7" s="21"/>
      <c r="F7" s="21"/>
      <c r="G7" s="21"/>
    </row>
    <row r="8" spans="1:9" x14ac:dyDescent="0.3">
      <c r="A8" s="10" t="s">
        <v>18</v>
      </c>
      <c r="B8" s="18" t="s">
        <v>25</v>
      </c>
      <c r="C8" s="11"/>
      <c r="D8" s="21"/>
      <c r="E8" s="21"/>
      <c r="F8" s="21"/>
      <c r="G8" s="21"/>
    </row>
    <row r="9" spans="1:9" x14ac:dyDescent="0.3">
      <c r="A9" s="10" t="s">
        <v>19</v>
      </c>
      <c r="B9" s="18" t="s">
        <v>26</v>
      </c>
      <c r="C9" s="11"/>
      <c r="D9" s="21"/>
      <c r="E9" s="21"/>
      <c r="F9" s="21"/>
      <c r="G9" s="21"/>
    </row>
    <row r="10" spans="1:9" x14ac:dyDescent="0.3">
      <c r="A10" s="10" t="s">
        <v>20</v>
      </c>
      <c r="B10" s="18" t="s">
        <v>27</v>
      </c>
      <c r="C10" s="11"/>
      <c r="D10" s="21"/>
      <c r="E10" s="21"/>
      <c r="F10" s="21"/>
      <c r="G10" s="21"/>
    </row>
    <row r="11" spans="1:9" ht="23.4" customHeight="1" x14ac:dyDescent="0.3">
      <c r="A11" s="10" t="s">
        <v>30</v>
      </c>
      <c r="B11" s="33" t="s">
        <v>31</v>
      </c>
      <c r="C11" s="34"/>
      <c r="D11" s="22"/>
      <c r="E11" s="22"/>
      <c r="F11" s="22"/>
      <c r="G11" s="22"/>
    </row>
    <row r="12" spans="1:9" x14ac:dyDescent="0.3">
      <c r="A12" s="12"/>
      <c r="B12" s="35"/>
      <c r="C12" s="36"/>
      <c r="D12" s="21"/>
      <c r="E12" s="21"/>
      <c r="F12" s="21"/>
      <c r="G12" s="21"/>
    </row>
    <row r="13" spans="1:9" ht="19.8" customHeight="1" x14ac:dyDescent="0.45"/>
    <row r="14" spans="1:9" x14ac:dyDescent="0.45">
      <c r="A14" s="37" t="s">
        <v>32</v>
      </c>
      <c r="B14" s="37"/>
      <c r="C14" s="37"/>
      <c r="D14" s="23"/>
      <c r="E14" s="23"/>
      <c r="F14" s="23"/>
      <c r="G14" s="23"/>
    </row>
    <row r="15" spans="1:9" ht="23.4" customHeight="1" x14ac:dyDescent="0.3">
      <c r="A15" s="38" t="s">
        <v>33</v>
      </c>
      <c r="B15" s="38"/>
      <c r="C15" s="38"/>
      <c r="D15" s="24"/>
      <c r="E15" s="24"/>
      <c r="F15" s="24"/>
      <c r="G15" s="24"/>
    </row>
    <row r="16" spans="1:9" x14ac:dyDescent="0.3">
      <c r="A16" s="38"/>
      <c r="B16" s="38"/>
      <c r="C16" s="38"/>
      <c r="D16" s="24"/>
      <c r="E16" s="24"/>
      <c r="F16" s="24"/>
      <c r="G16" s="24"/>
    </row>
    <row r="17" spans="1:7" x14ac:dyDescent="0.3">
      <c r="A17" s="38"/>
      <c r="B17" s="38"/>
      <c r="C17" s="38"/>
      <c r="D17" s="24"/>
      <c r="E17" s="24"/>
      <c r="F17" s="24"/>
      <c r="G17" s="24"/>
    </row>
    <row r="18" spans="1:7" x14ac:dyDescent="0.3">
      <c r="A18" s="38"/>
      <c r="B18" s="38"/>
      <c r="C18" s="38"/>
      <c r="D18" s="24"/>
      <c r="E18" s="24"/>
      <c r="F18" s="24"/>
      <c r="G18" s="24"/>
    </row>
    <row r="19" spans="1:7" x14ac:dyDescent="0.45">
      <c r="A19" s="37" t="s">
        <v>36</v>
      </c>
      <c r="B19" s="37"/>
      <c r="C19" s="37"/>
      <c r="D19" s="25"/>
      <c r="E19" s="25"/>
      <c r="F19" s="25"/>
      <c r="G19" s="25"/>
    </row>
    <row r="20" spans="1:7" ht="23.4" customHeight="1" x14ac:dyDescent="0.45">
      <c r="A20" s="38" t="s">
        <v>37</v>
      </c>
      <c r="B20" s="38"/>
      <c r="C20" s="38"/>
      <c r="D20" s="7"/>
      <c r="E20" s="7"/>
      <c r="F20" s="7"/>
      <c r="G20" s="7"/>
    </row>
    <row r="21" spans="1:7" ht="23.4" customHeight="1" x14ac:dyDescent="0.45">
      <c r="A21" s="38"/>
      <c r="B21" s="38"/>
      <c r="C21" s="38"/>
      <c r="D21" s="7"/>
      <c r="E21" s="7"/>
      <c r="F21" s="7"/>
      <c r="G21" s="7"/>
    </row>
    <row r="22" spans="1:7" ht="23.4" customHeight="1" x14ac:dyDescent="0.45">
      <c r="A22" s="38"/>
      <c r="B22" s="38"/>
      <c r="C22" s="38"/>
      <c r="D22" s="7"/>
      <c r="E22" s="7"/>
      <c r="F22" s="7"/>
      <c r="G22" s="7"/>
    </row>
    <row r="23" spans="1:7" ht="23.4" customHeight="1" x14ac:dyDescent="0.45">
      <c r="A23" s="38"/>
      <c r="B23" s="38"/>
      <c r="C23" s="38"/>
      <c r="D23" s="7"/>
      <c r="E23" s="7"/>
      <c r="F23" s="7"/>
      <c r="G23" s="7"/>
    </row>
    <row r="24" spans="1:7" ht="23.4" customHeight="1" x14ac:dyDescent="0.3">
      <c r="A24" s="38"/>
      <c r="B24" s="38"/>
      <c r="C24" s="38"/>
    </row>
    <row r="25" spans="1:7" x14ac:dyDescent="0.45">
      <c r="A25" s="37" t="s">
        <v>38</v>
      </c>
      <c r="B25" s="37"/>
      <c r="C25" s="37"/>
    </row>
    <row r="26" spans="1:7" ht="23.4" customHeight="1" x14ac:dyDescent="0.3">
      <c r="A26" s="38" t="s">
        <v>39</v>
      </c>
      <c r="B26" s="38"/>
      <c r="C26" s="38"/>
    </row>
    <row r="27" spans="1:7" ht="23.4" customHeight="1" x14ac:dyDescent="0.3">
      <c r="A27" s="38"/>
      <c r="B27" s="38"/>
      <c r="C27" s="38"/>
    </row>
    <row r="28" spans="1:7" ht="23.4" customHeight="1" x14ac:dyDescent="0.3">
      <c r="A28" s="38"/>
      <c r="B28" s="38"/>
      <c r="C28" s="38"/>
    </row>
    <row r="29" spans="1:7" ht="23.4" customHeight="1" x14ac:dyDescent="0.3">
      <c r="A29" s="38"/>
      <c r="B29" s="38"/>
      <c r="C29" s="38"/>
    </row>
    <row r="30" spans="1:7" x14ac:dyDescent="0.45">
      <c r="A30" s="37" t="s">
        <v>40</v>
      </c>
      <c r="B30" s="37"/>
      <c r="C30" s="37"/>
    </row>
    <row r="31" spans="1:7" ht="23.4" customHeight="1" x14ac:dyDescent="0.3">
      <c r="A31" s="39" t="s">
        <v>41</v>
      </c>
      <c r="B31" s="39"/>
      <c r="C31" s="39"/>
    </row>
    <row r="32" spans="1:7" ht="23.4" customHeight="1" x14ac:dyDescent="0.3">
      <c r="A32" s="39"/>
      <c r="B32" s="39"/>
      <c r="C32" s="39"/>
    </row>
    <row r="33" spans="1:3" ht="23.4" customHeight="1" x14ac:dyDescent="0.3">
      <c r="A33" s="39"/>
      <c r="B33" s="39"/>
      <c r="C33" s="39"/>
    </row>
    <row r="34" spans="1:3" ht="23.4" customHeight="1" x14ac:dyDescent="0.3">
      <c r="A34" s="39"/>
      <c r="B34" s="39"/>
      <c r="C34" s="39"/>
    </row>
    <row r="35" spans="1:3" x14ac:dyDescent="0.45">
      <c r="B35"/>
    </row>
  </sheetData>
  <mergeCells count="10">
    <mergeCell ref="A1:C1"/>
    <mergeCell ref="B11:C12"/>
    <mergeCell ref="A14:C14"/>
    <mergeCell ref="A15:C18"/>
    <mergeCell ref="A31:C34"/>
    <mergeCell ref="A19:C19"/>
    <mergeCell ref="A20:C24"/>
    <mergeCell ref="A25:C25"/>
    <mergeCell ref="A26:C29"/>
    <mergeCell ref="A30:C30"/>
  </mergeCells>
  <pageMargins left="0.7" right="0.7" top="0.75" bottom="0.75" header="0.3" footer="0.3"/>
  <pageSetup scale="53" fitToHeight="0" orientation="portrait" r:id="rId1"/>
  <headerFooter>
    <oddFooter>&amp;C&amp;14Source: Infosys Annual Report FY 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DF90-4EA9-408E-8A5C-8FF345D01CAA}">
  <dimension ref="A1:D9"/>
  <sheetViews>
    <sheetView zoomScale="251" zoomScaleNormal="251" workbookViewId="0">
      <selection sqref="A1:D1"/>
    </sheetView>
  </sheetViews>
  <sheetFormatPr defaultRowHeight="14.4" x14ac:dyDescent="0.3"/>
  <cols>
    <col min="1" max="1" width="24.44140625" customWidth="1"/>
  </cols>
  <sheetData>
    <row r="1" spans="1:4" x14ac:dyDescent="0.3">
      <c r="A1" s="44" t="s">
        <v>47</v>
      </c>
      <c r="B1" s="44"/>
      <c r="C1" s="44"/>
      <c r="D1" s="44"/>
    </row>
    <row r="2" spans="1:4" x14ac:dyDescent="0.3">
      <c r="B2" s="40" t="s">
        <v>13</v>
      </c>
      <c r="C2" s="40"/>
      <c r="D2" s="40"/>
    </row>
    <row r="3" spans="1:4" x14ac:dyDescent="0.3">
      <c r="A3" s="27" t="s">
        <v>3</v>
      </c>
      <c r="B3" s="26" t="s">
        <v>0</v>
      </c>
      <c r="C3" s="27" t="s">
        <v>1</v>
      </c>
      <c r="D3" s="27" t="s">
        <v>2</v>
      </c>
    </row>
    <row r="4" spans="1:4" x14ac:dyDescent="0.3">
      <c r="A4" t="s">
        <v>4</v>
      </c>
      <c r="B4" s="2">
        <v>162990</v>
      </c>
      <c r="C4" s="2">
        <v>153670</v>
      </c>
      <c r="D4" s="3">
        <v>146767</v>
      </c>
    </row>
    <row r="5" spans="1:4" x14ac:dyDescent="0.3">
      <c r="A5" s="1" t="s">
        <v>5</v>
      </c>
      <c r="B5" s="2">
        <v>37608</v>
      </c>
      <c r="C5" s="2">
        <v>35988</v>
      </c>
      <c r="D5" s="2">
        <v>33322</v>
      </c>
    </row>
    <row r="6" spans="1:4" x14ac:dyDescent="0.3">
      <c r="A6" s="1" t="s">
        <v>6</v>
      </c>
      <c r="B6" s="2">
        <v>26750</v>
      </c>
      <c r="C6" s="2">
        <v>26248</v>
      </c>
      <c r="D6" s="2">
        <v>24108</v>
      </c>
    </row>
    <row r="9" spans="1:4" x14ac:dyDescent="0.3">
      <c r="B9" s="6"/>
    </row>
  </sheetData>
  <mergeCells count="2">
    <mergeCell ref="B2:D2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3809-B95F-4A47-821E-2F7FCAC81106}">
  <dimension ref="A1:D6"/>
  <sheetViews>
    <sheetView zoomScale="251" zoomScaleNormal="251" workbookViewId="0">
      <selection sqref="A1:D1"/>
    </sheetView>
  </sheetViews>
  <sheetFormatPr defaultRowHeight="14.4" x14ac:dyDescent="0.3"/>
  <cols>
    <col min="1" max="1" width="21.88671875" customWidth="1"/>
    <col min="2" max="2" width="8.88671875" customWidth="1"/>
  </cols>
  <sheetData>
    <row r="1" spans="1:4" x14ac:dyDescent="0.3">
      <c r="A1" s="44" t="s">
        <v>48</v>
      </c>
      <c r="B1" s="44"/>
      <c r="C1" s="44"/>
      <c r="D1" s="44"/>
    </row>
    <row r="2" spans="1:4" x14ac:dyDescent="0.3">
      <c r="B2" s="40" t="s">
        <v>13</v>
      </c>
      <c r="C2" s="40"/>
      <c r="D2" s="40"/>
    </row>
    <row r="3" spans="1:4" x14ac:dyDescent="0.3">
      <c r="A3" s="26" t="s">
        <v>3</v>
      </c>
      <c r="B3" s="26" t="s">
        <v>0</v>
      </c>
      <c r="C3" s="26" t="s">
        <v>1</v>
      </c>
      <c r="D3" s="26" t="s">
        <v>2</v>
      </c>
    </row>
    <row r="4" spans="1:4" x14ac:dyDescent="0.3">
      <c r="A4" t="s">
        <v>7</v>
      </c>
      <c r="B4" s="2">
        <v>148903</v>
      </c>
      <c r="C4" s="2">
        <v>137814</v>
      </c>
      <c r="D4" s="2">
        <v>125816</v>
      </c>
    </row>
    <row r="5" spans="1:4" x14ac:dyDescent="0.3">
      <c r="A5" t="s">
        <v>8</v>
      </c>
      <c r="B5" s="2">
        <v>42850</v>
      </c>
      <c r="C5" s="2">
        <v>38794</v>
      </c>
      <c r="D5" s="2">
        <v>39186</v>
      </c>
    </row>
    <row r="6" spans="1:4" x14ac:dyDescent="0.3">
      <c r="A6" t="s">
        <v>9</v>
      </c>
      <c r="B6" s="2">
        <v>96203</v>
      </c>
      <c r="C6" s="2">
        <v>88461</v>
      </c>
      <c r="D6" s="2">
        <v>75795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E5BB-20BC-44A2-95C1-E4EAD36A2533}">
  <dimension ref="A1:D6"/>
  <sheetViews>
    <sheetView zoomScale="251" zoomScaleNormal="251" workbookViewId="0">
      <selection sqref="A1:D1"/>
    </sheetView>
  </sheetViews>
  <sheetFormatPr defaultRowHeight="14.4" x14ac:dyDescent="0.3"/>
  <cols>
    <col min="1" max="1" width="23.6640625" customWidth="1"/>
  </cols>
  <sheetData>
    <row r="1" spans="1:4" x14ac:dyDescent="0.3">
      <c r="A1" s="44" t="s">
        <v>49</v>
      </c>
      <c r="B1" s="44"/>
      <c r="C1" s="44"/>
      <c r="D1" s="44"/>
    </row>
    <row r="2" spans="1:4" x14ac:dyDescent="0.3">
      <c r="B2" s="40" t="s">
        <v>13</v>
      </c>
      <c r="C2" s="40"/>
      <c r="D2" s="40"/>
    </row>
    <row r="3" spans="1:4" x14ac:dyDescent="0.3">
      <c r="A3" s="26" t="s">
        <v>3</v>
      </c>
      <c r="B3" s="26" t="s">
        <v>0</v>
      </c>
      <c r="C3" s="26" t="s">
        <v>1</v>
      </c>
      <c r="D3" s="26" t="s">
        <v>2</v>
      </c>
    </row>
    <row r="4" spans="1:4" x14ac:dyDescent="0.3">
      <c r="A4" t="s">
        <v>10</v>
      </c>
      <c r="B4" s="2">
        <v>35694</v>
      </c>
      <c r="C4" s="2">
        <v>25210</v>
      </c>
      <c r="D4" s="2">
        <v>22467</v>
      </c>
    </row>
    <row r="5" spans="1:4" x14ac:dyDescent="0.3">
      <c r="A5" t="s">
        <v>11</v>
      </c>
      <c r="B5" s="2">
        <v>-1946</v>
      </c>
      <c r="C5" s="2">
        <v>-5009</v>
      </c>
      <c r="D5" s="2">
        <v>-1209</v>
      </c>
    </row>
    <row r="6" spans="1:4" x14ac:dyDescent="0.3">
      <c r="A6" t="s">
        <v>12</v>
      </c>
      <c r="B6" s="2">
        <v>-24161</v>
      </c>
      <c r="C6" s="2">
        <v>-17504</v>
      </c>
      <c r="D6" s="2">
        <v>-26695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D263-62B0-41E0-B992-F96201B497A9}">
  <dimension ref="A1:D8"/>
  <sheetViews>
    <sheetView zoomScale="251" zoomScaleNormal="251" workbookViewId="0">
      <selection sqref="A1:D1"/>
    </sheetView>
  </sheetViews>
  <sheetFormatPr defaultRowHeight="14.4" x14ac:dyDescent="0.3"/>
  <cols>
    <col min="1" max="1" width="25" customWidth="1"/>
  </cols>
  <sheetData>
    <row r="1" spans="1:4" x14ac:dyDescent="0.3">
      <c r="A1" s="44" t="s">
        <v>50</v>
      </c>
      <c r="B1" s="44"/>
      <c r="C1" s="44"/>
      <c r="D1" s="44"/>
    </row>
    <row r="3" spans="1:4" x14ac:dyDescent="0.3">
      <c r="A3" s="26" t="s">
        <v>42</v>
      </c>
      <c r="B3" s="26" t="s">
        <v>0</v>
      </c>
      <c r="C3" s="26" t="s">
        <v>1</v>
      </c>
      <c r="D3" s="26" t="s">
        <v>2</v>
      </c>
    </row>
    <row r="4" spans="1:4" x14ac:dyDescent="0.3">
      <c r="A4" t="s">
        <v>43</v>
      </c>
      <c r="B4" s="28">
        <f>'Income Statement'!B6/'Income Statement'!B4</f>
        <v>0.16412049819007302</v>
      </c>
      <c r="C4" s="28">
        <f>'Income Statement'!C6/'Income Statement'!C4</f>
        <v>0.17080757467300059</v>
      </c>
      <c r="D4" s="28">
        <f>'Income Statement'!D6/'Income Statement'!D4</f>
        <v>0.16426035825492105</v>
      </c>
    </row>
    <row r="5" spans="1:4" x14ac:dyDescent="0.3">
      <c r="A5" t="s">
        <v>44</v>
      </c>
      <c r="B5" s="28">
        <f>'Income Statement'!B6/'Balance Sheet'!B6</f>
        <v>0.2780578568235918</v>
      </c>
      <c r="C5" s="28">
        <f>'Income Statement'!C6/'Balance Sheet'!C6</f>
        <v>0.29671832785069124</v>
      </c>
      <c r="D5" s="28">
        <f>'Income Statement'!D6/'Balance Sheet'!D6</f>
        <v>0.31806847417375816</v>
      </c>
    </row>
    <row r="6" spans="1:4" x14ac:dyDescent="0.3">
      <c r="A6" t="s">
        <v>45</v>
      </c>
      <c r="B6" s="28">
        <f>'Income Statement'!B6/'Balance Sheet'!B4</f>
        <v>0.17964715284446922</v>
      </c>
      <c r="C6" s="28">
        <f>'Income Statement'!C6/'Balance Sheet'!C4</f>
        <v>0.19045960497482115</v>
      </c>
      <c r="D6" s="28">
        <f>'Income Statement'!D6/'Balance Sheet'!D4</f>
        <v>0.19161314936097157</v>
      </c>
    </row>
    <row r="7" spans="1:4" x14ac:dyDescent="0.3">
      <c r="A7" t="s">
        <v>46</v>
      </c>
      <c r="B7" s="28">
        <f>'Balance Sheet'!B5/'Balance Sheet'!B6</f>
        <v>0.44541230522956665</v>
      </c>
      <c r="C7" s="28">
        <f>'Balance Sheet'!C5/'Balance Sheet'!C6</f>
        <v>0.43854353896067194</v>
      </c>
      <c r="D7" s="28">
        <f>'Balance Sheet'!D5/'Balance Sheet'!D6</f>
        <v>0.51699980209776375</v>
      </c>
    </row>
    <row r="8" spans="1:4" x14ac:dyDescent="0.3">
      <c r="B8" s="28"/>
      <c r="C8" s="28"/>
      <c r="D8" s="28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F4BA-DAD2-4FC2-AC65-1DE71358E7D7}">
  <dimension ref="A1:T46"/>
  <sheetViews>
    <sheetView showGridLines="0" tabSelected="1" showRuler="0" topLeftCell="A42" zoomScale="141" zoomScaleNormal="141" zoomScalePageLayoutView="68" workbookViewId="0">
      <selection activeCell="K7" sqref="K7"/>
    </sheetView>
  </sheetViews>
  <sheetFormatPr defaultRowHeight="14.4" x14ac:dyDescent="0.3"/>
  <sheetData>
    <row r="1" spans="1:19" ht="18.600000000000001" customHeight="1" x14ac:dyDescent="0.3">
      <c r="A1" s="41" t="s">
        <v>60</v>
      </c>
      <c r="B1" s="41"/>
      <c r="C1" s="41"/>
      <c r="D1" s="41"/>
      <c r="E1" s="41"/>
      <c r="F1" s="41"/>
      <c r="G1" s="41"/>
      <c r="H1" s="41"/>
      <c r="I1" s="41"/>
      <c r="J1" s="41"/>
    </row>
    <row r="2" spans="1:19" ht="15" customHeight="1" x14ac:dyDescent="0.3">
      <c r="A2" s="45" t="s">
        <v>61</v>
      </c>
      <c r="B2" s="42"/>
      <c r="C2" s="42"/>
      <c r="D2" s="42"/>
      <c r="E2" s="42"/>
      <c r="F2" s="42"/>
      <c r="G2" s="42"/>
      <c r="H2" s="42"/>
      <c r="I2" s="42"/>
      <c r="J2" s="42"/>
    </row>
    <row r="8" spans="1:19" ht="9.6" customHeight="1" x14ac:dyDescent="0.3">
      <c r="O8" t="s">
        <v>4</v>
      </c>
      <c r="S8" t="s">
        <v>53</v>
      </c>
    </row>
    <row r="9" spans="1:19" x14ac:dyDescent="0.3">
      <c r="N9" t="s">
        <v>2</v>
      </c>
      <c r="O9" s="2">
        <f>'Income Statement'!D4</f>
        <v>146767</v>
      </c>
      <c r="R9" t="s">
        <v>2</v>
      </c>
      <c r="S9" s="2">
        <f>'Income Statement'!D6</f>
        <v>24108</v>
      </c>
    </row>
    <row r="10" spans="1:19" x14ac:dyDescent="0.3">
      <c r="N10" t="s">
        <v>1</v>
      </c>
      <c r="O10" s="2">
        <f>'Income Statement'!C4</f>
        <v>153670</v>
      </c>
      <c r="R10" t="s">
        <v>1</v>
      </c>
      <c r="S10" s="2">
        <f>'Income Statement'!C6</f>
        <v>26248</v>
      </c>
    </row>
    <row r="11" spans="1:19" x14ac:dyDescent="0.3">
      <c r="N11" t="s">
        <v>0</v>
      </c>
      <c r="O11" s="2">
        <f>'Income Statement'!B4</f>
        <v>162990</v>
      </c>
      <c r="R11" t="s">
        <v>0</v>
      </c>
      <c r="S11" s="2">
        <f>'Income Statement'!B6</f>
        <v>26750</v>
      </c>
    </row>
    <row r="18" spans="13:20" x14ac:dyDescent="0.3">
      <c r="N18" t="s">
        <v>51</v>
      </c>
      <c r="O18" t="s">
        <v>52</v>
      </c>
      <c r="R18" t="s">
        <v>54</v>
      </c>
      <c r="S18" t="s">
        <v>55</v>
      </c>
      <c r="T18" t="s">
        <v>56</v>
      </c>
    </row>
    <row r="19" spans="13:20" x14ac:dyDescent="0.3">
      <c r="M19" t="s">
        <v>2</v>
      </c>
      <c r="N19" s="2">
        <f>'Balance Sheet'!D4</f>
        <v>125816</v>
      </c>
      <c r="O19" s="2">
        <f>'Balance Sheet'!D5</f>
        <v>39186</v>
      </c>
      <c r="Q19" t="s">
        <v>2</v>
      </c>
      <c r="R19" s="2">
        <f>'Cash Flow'!D4</f>
        <v>22467</v>
      </c>
      <c r="S19" s="2">
        <f>'Cash Flow'!D5</f>
        <v>-1209</v>
      </c>
      <c r="T19" s="2">
        <f>'Cash Flow'!D6</f>
        <v>-26695</v>
      </c>
    </row>
    <row r="20" spans="13:20" x14ac:dyDescent="0.3">
      <c r="M20" t="s">
        <v>1</v>
      </c>
      <c r="N20" s="2">
        <f>'Balance Sheet'!C4</f>
        <v>137814</v>
      </c>
      <c r="O20" s="2">
        <f>'Balance Sheet'!C5</f>
        <v>38794</v>
      </c>
      <c r="Q20" t="s">
        <v>1</v>
      </c>
      <c r="R20" s="2">
        <f>'Cash Flow'!C4</f>
        <v>25210</v>
      </c>
      <c r="S20" s="2">
        <f>'Cash Flow'!C5</f>
        <v>-5009</v>
      </c>
      <c r="T20" s="2">
        <f>'Cash Flow'!C6</f>
        <v>-17504</v>
      </c>
    </row>
    <row r="21" spans="13:20" x14ac:dyDescent="0.3">
      <c r="M21" t="s">
        <v>0</v>
      </c>
      <c r="N21" s="2">
        <f>'Balance Sheet'!B4</f>
        <v>148903</v>
      </c>
      <c r="O21" s="2">
        <f>'Balance Sheet'!B5</f>
        <v>42850</v>
      </c>
      <c r="Q21" t="s">
        <v>0</v>
      </c>
      <c r="R21" s="2">
        <f>'Cash Flow'!B4</f>
        <v>35694</v>
      </c>
      <c r="S21" s="2">
        <f>'Cash Flow'!B5</f>
        <v>-1946</v>
      </c>
      <c r="T21" s="2">
        <f>'Cash Flow'!B6</f>
        <v>-24161</v>
      </c>
    </row>
    <row r="32" spans="13:20" x14ac:dyDescent="0.3">
      <c r="N32" t="s">
        <v>2</v>
      </c>
      <c r="O32" t="s">
        <v>1</v>
      </c>
      <c r="P32" t="s">
        <v>0</v>
      </c>
      <c r="S32" t="s">
        <v>4</v>
      </c>
      <c r="T32" t="s">
        <v>53</v>
      </c>
    </row>
    <row r="33" spans="1:20" ht="28.8" x14ac:dyDescent="0.3">
      <c r="M33" s="1" t="s">
        <v>53</v>
      </c>
      <c r="N33" s="29">
        <f>'Ratio Analysis'!D4</f>
        <v>0.16426035825492105</v>
      </c>
      <c r="O33" s="29">
        <f>'Ratio Analysis'!C4</f>
        <v>0.17080757467300059</v>
      </c>
      <c r="P33" s="29">
        <f>'Ratio Analysis'!B4</f>
        <v>0.16412049819007302</v>
      </c>
      <c r="R33" s="30" t="s">
        <v>2</v>
      </c>
      <c r="S33" s="2">
        <f>'Income Statement'!D4</f>
        <v>146767</v>
      </c>
      <c r="T33" s="2">
        <f>'Income Statement'!D6</f>
        <v>24108</v>
      </c>
    </row>
    <row r="34" spans="1:20" x14ac:dyDescent="0.3">
      <c r="M34" t="s">
        <v>57</v>
      </c>
      <c r="N34" s="28">
        <f>'Ratio Analysis'!D5</f>
        <v>0.31806847417375816</v>
      </c>
      <c r="O34" s="28">
        <f>'Ratio Analysis'!C5</f>
        <v>0.29671832785069124</v>
      </c>
      <c r="P34" s="28">
        <f>'Ratio Analysis'!B5</f>
        <v>0.2780578568235918</v>
      </c>
      <c r="R34" t="s">
        <v>1</v>
      </c>
      <c r="S34" s="2">
        <f>'Income Statement'!C4</f>
        <v>153670</v>
      </c>
      <c r="T34" s="2">
        <f>'Income Statement'!C6</f>
        <v>26248</v>
      </c>
    </row>
    <row r="35" spans="1:20" x14ac:dyDescent="0.3">
      <c r="M35" t="s">
        <v>58</v>
      </c>
      <c r="N35" s="28">
        <f>'Ratio Analysis'!D6</f>
        <v>0.19161314936097157</v>
      </c>
      <c r="O35" s="28">
        <f>'Ratio Analysis'!C6</f>
        <v>0.19045960497482115</v>
      </c>
      <c r="P35" s="28">
        <f>'Ratio Analysis'!B6</f>
        <v>0.17964715284446922</v>
      </c>
      <c r="R35" t="s">
        <v>0</v>
      </c>
      <c r="S35" s="2">
        <f>'Income Statement'!B4</f>
        <v>162990</v>
      </c>
      <c r="T35" s="2">
        <f>'Income Statement'!B6</f>
        <v>26750</v>
      </c>
    </row>
    <row r="36" spans="1:20" x14ac:dyDescent="0.3">
      <c r="M36" s="1"/>
      <c r="N36" s="29"/>
      <c r="O36" s="29"/>
      <c r="P36" s="29"/>
    </row>
    <row r="37" spans="1:20" x14ac:dyDescent="0.3">
      <c r="M37" s="30"/>
      <c r="P37" s="31"/>
    </row>
    <row r="42" spans="1:20" x14ac:dyDescent="0.3">
      <c r="L42" s="30"/>
    </row>
    <row r="46" spans="1:20" x14ac:dyDescent="0.3">
      <c r="A46" s="43" t="s">
        <v>59</v>
      </c>
      <c r="B46" s="43"/>
      <c r="C46" s="43"/>
      <c r="D46" s="43"/>
      <c r="E46" s="43"/>
      <c r="F46" s="43"/>
      <c r="G46" s="43"/>
      <c r="H46" s="43"/>
      <c r="I46" s="43"/>
      <c r="J46" s="43"/>
    </row>
  </sheetData>
  <mergeCells count="3">
    <mergeCell ref="A1:J1"/>
    <mergeCell ref="A2:J2"/>
    <mergeCell ref="A46:J4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 Overview</vt:lpstr>
      <vt:lpstr>Income Statement</vt:lpstr>
      <vt:lpstr>Balance Sheet</vt:lpstr>
      <vt:lpstr>Cash Flow</vt:lpstr>
      <vt:lpstr>Ratio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N</dc:creator>
  <cp:lastModifiedBy>Archana N</cp:lastModifiedBy>
  <cp:lastPrinted>2026-08-04T07:26:21Z</cp:lastPrinted>
  <dcterms:created xsi:type="dcterms:W3CDTF">2026-08-03T04:36:39Z</dcterms:created>
  <dcterms:modified xsi:type="dcterms:W3CDTF">2026-08-05T04:04:10Z</dcterms:modified>
</cp:coreProperties>
</file>