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rchu\Downloads\"/>
    </mc:Choice>
  </mc:AlternateContent>
  <xr:revisionPtr revIDLastSave="0" documentId="13_ncr:1_{4250A3F1-EC86-4FDF-9BF9-856F44A1470D}" xr6:coauthVersionLast="47" xr6:coauthVersionMax="47" xr10:uidLastSave="{00000000-0000-0000-0000-000000000000}"/>
  <bookViews>
    <workbookView xWindow="-108" yWindow="-108" windowWidth="23256" windowHeight="12456" activeTab="3" xr2:uid="{00000000-000D-0000-FFFF-FFFF00000000}"/>
  </bookViews>
  <sheets>
    <sheet name="tblGST" sheetId="1" r:id="rId1"/>
    <sheet name="GST Calculation" sheetId="2" r:id="rId2"/>
    <sheet name="GST Summary" sheetId="6" r:id="rId3"/>
    <sheet name="Dashboard" sheetId="4" r:id="rId4"/>
  </sheets>
  <definedNames>
    <definedName name="Slicer_GST_Rate">#N/A</definedName>
    <definedName name="Slicer_Payment_Status">#N/A</definedName>
    <definedName name="Slicer_Product">#N/A</definedName>
    <definedName name="Slicer_Stat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B10" i="2"/>
  <c r="B9" i="2"/>
  <c r="B8" i="2"/>
  <c r="B7" i="2"/>
  <c r="B5" i="2"/>
  <c r="B4" i="2"/>
  <c r="B3" i="2"/>
  <c r="B2" i="2"/>
  <c r="B6" i="2" l="1"/>
</calcChain>
</file>

<file path=xl/sharedStrings.xml><?xml version="1.0" encoding="utf-8"?>
<sst xmlns="http://schemas.openxmlformats.org/spreadsheetml/2006/main" count="364" uniqueCount="115">
  <si>
    <t>Invoice No</t>
  </si>
  <si>
    <t>Invoice Date</t>
  </si>
  <si>
    <t>Customer</t>
  </si>
  <si>
    <t>State</t>
  </si>
  <si>
    <t>GST Type</t>
  </si>
  <si>
    <t>Product</t>
  </si>
  <si>
    <t>Taxable Value</t>
  </si>
  <si>
    <t>GST Rate (%)</t>
  </si>
  <si>
    <t>CGST</t>
  </si>
  <si>
    <t>SGST</t>
  </si>
  <si>
    <t>IGST</t>
  </si>
  <si>
    <t>Invoice Total</t>
  </si>
  <si>
    <t>Payment Status</t>
  </si>
  <si>
    <t>INV1001</t>
  </si>
  <si>
    <t>XYZ Retail</t>
  </si>
  <si>
    <t>Kerala</t>
  </si>
  <si>
    <t>Office Chair</t>
  </si>
  <si>
    <t>Paid</t>
  </si>
  <si>
    <t>INV1002</t>
  </si>
  <si>
    <t>Elite Distributors</t>
  </si>
  <si>
    <t>Pending</t>
  </si>
  <si>
    <t>INV1003</t>
  </si>
  <si>
    <t>ABC Traders</t>
  </si>
  <si>
    <t>Tamil Nadu</t>
  </si>
  <si>
    <t>CGST/SGST</t>
  </si>
  <si>
    <t>Monitor</t>
  </si>
  <si>
    <t>INV1004</t>
  </si>
  <si>
    <t>Keyboard</t>
  </si>
  <si>
    <t>INV1005</t>
  </si>
  <si>
    <t>City Wholesale</t>
  </si>
  <si>
    <t>Karnataka</t>
  </si>
  <si>
    <t>Printer</t>
  </si>
  <si>
    <t>INV1006</t>
  </si>
  <si>
    <t>INV1007</t>
  </si>
  <si>
    <t>INV1008</t>
  </si>
  <si>
    <t>INV1009</t>
  </si>
  <si>
    <t>Mouse</t>
  </si>
  <si>
    <t>INV1010</t>
  </si>
  <si>
    <t>Prime Stores</t>
  </si>
  <si>
    <t>INV1011</t>
  </si>
  <si>
    <t>Sun Enterprises</t>
  </si>
  <si>
    <t>INV1012</t>
  </si>
  <si>
    <t>Green Mart</t>
  </si>
  <si>
    <t>INV1013</t>
  </si>
  <si>
    <t>Router</t>
  </si>
  <si>
    <t>INV1014</t>
  </si>
  <si>
    <t>INV1015</t>
  </si>
  <si>
    <t>INV1016</t>
  </si>
  <si>
    <t>Desk</t>
  </si>
  <si>
    <t>INV1017</t>
  </si>
  <si>
    <t>INV1018</t>
  </si>
  <si>
    <t>Nova Tech</t>
  </si>
  <si>
    <t>Laptop</t>
  </si>
  <si>
    <t>INV1019</t>
  </si>
  <si>
    <t>INV1020</t>
  </si>
  <si>
    <t>INV1021</t>
  </si>
  <si>
    <t>INV1022</t>
  </si>
  <si>
    <t>INV1023</t>
  </si>
  <si>
    <t>INV1024</t>
  </si>
  <si>
    <t>INV1025</t>
  </si>
  <si>
    <t>INV1026</t>
  </si>
  <si>
    <t>INV1027</t>
  </si>
  <si>
    <t>INV1028</t>
  </si>
  <si>
    <t>INV1029</t>
  </si>
  <si>
    <t>INV1030</t>
  </si>
  <si>
    <t>INV1031</t>
  </si>
  <si>
    <t>INV1032</t>
  </si>
  <si>
    <t>INV1033</t>
  </si>
  <si>
    <t>INV1034</t>
  </si>
  <si>
    <t>INV1035</t>
  </si>
  <si>
    <t>INV1036</t>
  </si>
  <si>
    <t>INV1037</t>
  </si>
  <si>
    <t>INV1038</t>
  </si>
  <si>
    <t>INV1039</t>
  </si>
  <si>
    <t>INV1040</t>
  </si>
  <si>
    <t>INV1041</t>
  </si>
  <si>
    <t>INV1042</t>
  </si>
  <si>
    <t>INV1043</t>
  </si>
  <si>
    <t>INV1044</t>
  </si>
  <si>
    <t>INV1045</t>
  </si>
  <si>
    <t>INV1046</t>
  </si>
  <si>
    <t>INV1047</t>
  </si>
  <si>
    <t>INV1048</t>
  </si>
  <si>
    <t>INV1049</t>
  </si>
  <si>
    <t>INV1050</t>
  </si>
  <si>
    <t>Total Taxable Sales</t>
  </si>
  <si>
    <t>Total CGST</t>
  </si>
  <si>
    <t>Total SGST</t>
  </si>
  <si>
    <t>Total IGST</t>
  </si>
  <si>
    <t>Total GST Collected</t>
  </si>
  <si>
    <t>Total Invoice Amount</t>
  </si>
  <si>
    <t>Total Invoices</t>
  </si>
  <si>
    <t>Pending Payments</t>
  </si>
  <si>
    <t>Paid Payments</t>
  </si>
  <si>
    <t>METRICS</t>
  </si>
  <si>
    <t>Grand Total</t>
  </si>
  <si>
    <t>Apr</t>
  </si>
  <si>
    <t>May</t>
  </si>
  <si>
    <t>Jun</t>
  </si>
  <si>
    <t>Jul</t>
  </si>
  <si>
    <t>Sum of Taxable Value</t>
  </si>
  <si>
    <t>Sum of Invoice Total</t>
  </si>
  <si>
    <t>Count of Invoice No</t>
  </si>
  <si>
    <t>MONTHLY SALES</t>
  </si>
  <si>
    <t>GST RATE ANALYSIS</t>
  </si>
  <si>
    <t>STATE-WISE SALES</t>
  </si>
  <si>
    <t>PAYMENT STATUS</t>
  </si>
  <si>
    <t>PRODUCT-WISE SALES</t>
  </si>
  <si>
    <t xml:space="preserve">Product     </t>
  </si>
  <si>
    <t>Month</t>
  </si>
  <si>
    <t>GST %</t>
  </si>
  <si>
    <r>
      <t xml:space="preserve">TOTAL VALUES </t>
    </r>
    <r>
      <rPr>
        <b/>
        <sz val="11"/>
        <color theme="1"/>
        <rFont val="Calibri"/>
        <family val="2"/>
      </rPr>
      <t>₹</t>
    </r>
  </si>
  <si>
    <t>GST COMPLIANCE &amp; TAX ANALYSIS DASHBOARD</t>
  </si>
  <si>
    <t xml:space="preserve"> FY 2025 | Sample GST Transactions</t>
  </si>
  <si>
    <r>
      <rPr>
        <b/>
        <sz val="9"/>
        <color theme="1"/>
        <rFont val="Calibri"/>
        <family val="2"/>
        <scheme val="minor"/>
      </rPr>
      <t>Source:</t>
    </r>
    <r>
      <rPr>
        <sz val="9"/>
        <color theme="1"/>
        <rFont val="Calibri"/>
        <family val="2"/>
        <scheme val="minor"/>
      </rPr>
      <t xml:space="preserve"> Sample GST Dataset | Dashboard Developed using Microsoft Excel 2021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</si>
</sst>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409]d\-mmm\-yy;@"/>
    <numFmt numFmtId="167" formatCode="_ [$₹-4009]\ * #,##0_ ;_ [$₹-4009]\ * \-#,##0_ ;_ [$₹-4009]\ * &quot;-&quot;??_ ;_ @_ "/>
  </numFmts>
  <fonts count="8" x14ac:knownFonts="1">
    <font>
      <sz val="11"/>
      <color theme="1"/>
      <name val="Calibri"/>
      <family val="2"/>
      <scheme val="minor"/>
    </font>
    <font>
      <b/>
      <sz val="11"/>
      <color theme="1"/>
      <name val="Calibri"/>
      <family val="2"/>
      <scheme val="minor"/>
    </font>
    <font>
      <sz val="8"/>
      <name val="Calibri"/>
      <family val="2"/>
      <scheme val="minor"/>
    </font>
    <font>
      <b/>
      <sz val="11"/>
      <color theme="1"/>
      <name val="Calibri"/>
      <family val="2"/>
    </font>
    <font>
      <b/>
      <sz val="18"/>
      <color theme="0"/>
      <name val="Calibri"/>
      <family val="2"/>
      <scheme val="minor"/>
    </font>
    <font>
      <b/>
      <sz val="12"/>
      <color theme="1"/>
      <name val="Calibri"/>
      <family val="2"/>
      <scheme val="minor"/>
    </font>
    <font>
      <b/>
      <sz val="9"/>
      <color theme="1"/>
      <name val="Calibri"/>
      <family val="2"/>
      <scheme val="minor"/>
    </font>
    <font>
      <sz val="9"/>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165" fontId="0" fillId="0" borderId="0" xfId="0" applyNumberFormat="1"/>
    <xf numFmtId="0" fontId="1" fillId="2" borderId="0" xfId="0" applyFont="1" applyFill="1" applyAlignment="1">
      <alignment horizontal="center" wrapText="1"/>
    </xf>
    <xf numFmtId="0" fontId="1" fillId="2" borderId="0" xfId="0" applyFont="1" applyFill="1" applyAlignment="1">
      <alignment vertical="center"/>
    </xf>
    <xf numFmtId="0" fontId="0" fillId="0" borderId="0" xfId="0" applyAlignment="1">
      <alignment vertical="center"/>
    </xf>
    <xf numFmtId="0" fontId="4" fillId="3" borderId="0" xfId="0" applyFont="1" applyFill="1" applyAlignment="1">
      <alignment horizontal="center" vertical="center" wrapText="1"/>
    </xf>
    <xf numFmtId="0" fontId="5" fillId="0" borderId="0" xfId="0" applyFont="1" applyAlignment="1">
      <alignment horizontal="center" vertical="center" wrapText="1"/>
    </xf>
    <xf numFmtId="0" fontId="1" fillId="2" borderId="0" xfId="0" applyFont="1" applyFill="1" applyAlignment="1">
      <alignment horizontal="center" wrapText="1"/>
    </xf>
    <xf numFmtId="0" fontId="0" fillId="0" borderId="0" xfId="0" applyNumberFormat="1"/>
    <xf numFmtId="0" fontId="7" fillId="0" borderId="0" xfId="0" applyFont="1" applyAlignment="1">
      <alignment horizontal="center"/>
    </xf>
    <xf numFmtId="167" fontId="0" fillId="0" borderId="0" xfId="0" applyNumberFormat="1"/>
  </cellXfs>
  <cellStyles count="1">
    <cellStyle name="Normal" xfId="0" builtinId="0"/>
  </cellStyles>
  <dxfs count="1">
    <dxf>
      <numFmt numFmtId="165" formatCode="[$-409]d\-mmm\-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[GST Compliance &amp; Tax Analysis.xlsx]GST Summary!PivotTable2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'GST Summary'!$B$3</c:f>
              <c:strCache>
                <c:ptCount val="1"/>
                <c:pt idx="0">
                  <c:v>Total</c:v>
                </c:pt>
              </c:strCache>
            </c:strRef>
          </c:tx>
          <c:spPr>
            <a:ln w="28575" cap="rnd">
              <a:solidFill>
                <a:schemeClr val="accent1"/>
              </a:solidFill>
              <a:round/>
            </a:ln>
            <a:effectLst/>
          </c:spPr>
          <c:marker>
            <c:symbol val="none"/>
          </c:marker>
          <c:cat>
            <c:strRef>
              <c:f>'GST Summary'!$A$4:$A$8</c:f>
              <c:strCache>
                <c:ptCount val="4"/>
                <c:pt idx="0">
                  <c:v>Apr</c:v>
                </c:pt>
                <c:pt idx="1">
                  <c:v>May</c:v>
                </c:pt>
                <c:pt idx="2">
                  <c:v>Jun</c:v>
                </c:pt>
                <c:pt idx="3">
                  <c:v>Jul</c:v>
                </c:pt>
              </c:strCache>
            </c:strRef>
          </c:cat>
          <c:val>
            <c:numRef>
              <c:f>'GST Summary'!$B$4:$B$8</c:f>
              <c:numCache>
                <c:formatCode>General</c:formatCode>
                <c:ptCount val="4"/>
                <c:pt idx="0">
                  <c:v>358815</c:v>
                </c:pt>
                <c:pt idx="1">
                  <c:v>372965</c:v>
                </c:pt>
                <c:pt idx="2">
                  <c:v>346448</c:v>
                </c:pt>
                <c:pt idx="3">
                  <c:v>332361</c:v>
                </c:pt>
              </c:numCache>
            </c:numRef>
          </c:val>
          <c:smooth val="0"/>
          <c:extLst>
            <c:ext xmlns:c16="http://schemas.microsoft.com/office/drawing/2014/chart" uri="{C3380CC4-5D6E-409C-BE32-E72D297353CC}">
              <c16:uniqueId val="{00000032-3B95-4FEA-BCA2-D602FD5BE9EC}"/>
            </c:ext>
          </c:extLst>
        </c:ser>
        <c:dLbls>
          <c:showLegendKey val="0"/>
          <c:showVal val="0"/>
          <c:showCatName val="0"/>
          <c:showSerName val="0"/>
          <c:showPercent val="0"/>
          <c:showBubbleSize val="0"/>
        </c:dLbls>
        <c:smooth val="0"/>
        <c:axId val="489553152"/>
        <c:axId val="303610576"/>
      </c:lineChart>
      <c:catAx>
        <c:axId val="48955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610576"/>
        <c:crosses val="autoZero"/>
        <c:auto val="1"/>
        <c:lblAlgn val="ctr"/>
        <c:lblOffset val="100"/>
        <c:noMultiLvlLbl val="0"/>
      </c:catAx>
      <c:valAx>
        <c:axId val="30361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5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[GST Compliance &amp; Tax Analysis.xlsx]GST Summary!PivotTable3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'GST Summary'!$G$2</c:f>
              <c:strCache>
                <c:ptCount val="1"/>
                <c:pt idx="0">
                  <c:v>Total</c:v>
                </c:pt>
              </c:strCache>
            </c:strRef>
          </c:tx>
          <c:spPr>
            <a:solidFill>
              <a:schemeClr val="accent1"/>
            </a:solidFill>
            <a:ln>
              <a:noFill/>
            </a:ln>
            <a:effectLst/>
          </c:spPr>
          <c:invertIfNegative val="0"/>
          <c:cat>
            <c:strRef>
              <c:f>'GST Summary'!$F$3:$F$6</c:f>
              <c:strCache>
                <c:ptCount val="3"/>
                <c:pt idx="0">
                  <c:v>5</c:v>
                </c:pt>
                <c:pt idx="1">
                  <c:v>12</c:v>
                </c:pt>
                <c:pt idx="2">
                  <c:v>18</c:v>
                </c:pt>
              </c:strCache>
            </c:strRef>
          </c:cat>
          <c:val>
            <c:numRef>
              <c:f>'GST Summary'!$G$3:$G$6</c:f>
              <c:numCache>
                <c:formatCode>General</c:formatCode>
                <c:ptCount val="3"/>
                <c:pt idx="0">
                  <c:v>538746.62</c:v>
                </c:pt>
                <c:pt idx="1">
                  <c:v>456668.8</c:v>
                </c:pt>
                <c:pt idx="2">
                  <c:v>577913.26</c:v>
                </c:pt>
              </c:numCache>
            </c:numRef>
          </c:val>
          <c:extLst>
            <c:ext xmlns:c16="http://schemas.microsoft.com/office/drawing/2014/chart" uri="{C3380CC4-5D6E-409C-BE32-E72D297353CC}">
              <c16:uniqueId val="{00000000-5775-4BBD-9DA1-3E089BAA6306}"/>
            </c:ext>
          </c:extLst>
        </c:ser>
        <c:dLbls>
          <c:showLegendKey val="0"/>
          <c:showVal val="0"/>
          <c:showCatName val="0"/>
          <c:showSerName val="0"/>
          <c:showPercent val="0"/>
          <c:showBubbleSize val="0"/>
        </c:dLbls>
        <c:gapWidth val="219"/>
        <c:overlap val="-27"/>
        <c:axId val="575239792"/>
        <c:axId val="303607696"/>
      </c:barChart>
      <c:catAx>
        <c:axId val="57523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607696"/>
        <c:crosses val="autoZero"/>
        <c:auto val="1"/>
        <c:lblAlgn val="ctr"/>
        <c:lblOffset val="100"/>
        <c:noMultiLvlLbl val="0"/>
      </c:catAx>
      <c:valAx>
        <c:axId val="30360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3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[GST Compliance &amp; Tax Analysis.xlsx]GST Summary!PivotTable4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'GST Summary'!$L$2</c:f>
              <c:strCache>
                <c:ptCount val="1"/>
                <c:pt idx="0">
                  <c:v>Total</c:v>
                </c:pt>
              </c:strCache>
            </c:strRef>
          </c:tx>
          <c:spPr>
            <a:solidFill>
              <a:schemeClr val="accent1"/>
            </a:solidFill>
            <a:ln>
              <a:noFill/>
            </a:ln>
            <a:effectLst/>
          </c:spPr>
          <c:invertIfNegative val="0"/>
          <c:cat>
            <c:strRef>
              <c:f>'GST Summary'!$K$3:$K$6</c:f>
              <c:strCache>
                <c:ptCount val="3"/>
                <c:pt idx="0">
                  <c:v>Karnataka</c:v>
                </c:pt>
                <c:pt idx="1">
                  <c:v>Kerala</c:v>
                </c:pt>
                <c:pt idx="2">
                  <c:v>Tamil Nadu</c:v>
                </c:pt>
              </c:strCache>
            </c:strRef>
          </c:cat>
          <c:val>
            <c:numRef>
              <c:f>'GST Summary'!$L$3:$L$6</c:f>
              <c:numCache>
                <c:formatCode>General</c:formatCode>
                <c:ptCount val="3"/>
                <c:pt idx="0">
                  <c:v>523438.12999999989</c:v>
                </c:pt>
                <c:pt idx="1">
                  <c:v>628973.23</c:v>
                </c:pt>
                <c:pt idx="2">
                  <c:v>420917.31999999995</c:v>
                </c:pt>
              </c:numCache>
            </c:numRef>
          </c:val>
          <c:extLst>
            <c:ext xmlns:c16="http://schemas.microsoft.com/office/drawing/2014/chart" uri="{C3380CC4-5D6E-409C-BE32-E72D297353CC}">
              <c16:uniqueId val="{00000000-851E-418B-BB14-56AB41782135}"/>
            </c:ext>
          </c:extLst>
        </c:ser>
        <c:dLbls>
          <c:showLegendKey val="0"/>
          <c:showVal val="0"/>
          <c:showCatName val="0"/>
          <c:showSerName val="0"/>
          <c:showPercent val="0"/>
          <c:showBubbleSize val="0"/>
        </c:dLbls>
        <c:gapWidth val="182"/>
        <c:axId val="500405776"/>
        <c:axId val="578052336"/>
      </c:barChart>
      <c:catAx>
        <c:axId val="50040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52336"/>
        <c:crosses val="autoZero"/>
        <c:auto val="1"/>
        <c:lblAlgn val="ctr"/>
        <c:lblOffset val="100"/>
        <c:noMultiLvlLbl val="0"/>
      </c:catAx>
      <c:valAx>
        <c:axId val="578052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40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[GST Compliance &amp; Tax Analysis.xlsx]GST Summary!PivotTable5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2872624431027391"/>
          <c:y val="0.13221874974794057"/>
          <c:w val="0.45762914460530602"/>
          <c:h val="0.75746452709305512"/>
        </c:manualLayout>
      </c:layout>
      <c:pieChart>
        <c:varyColors val="1"/>
        <c:ser>
          <c:idx val="0"/>
          <c:order val="0"/>
          <c:tx>
            <c:strRef>
              <c:f>'GST Summary'!$B$19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27-415E-945E-8989339D86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27-415E-945E-8989339D8656}"/>
              </c:ext>
            </c:extLst>
          </c:dPt>
          <c:cat>
            <c:strRef>
              <c:f>'GST Summary'!$A$20:$A$22</c:f>
              <c:strCache>
                <c:ptCount val="2"/>
                <c:pt idx="0">
                  <c:v>Paid</c:v>
                </c:pt>
                <c:pt idx="1">
                  <c:v>Pending</c:v>
                </c:pt>
              </c:strCache>
            </c:strRef>
          </c:cat>
          <c:val>
            <c:numRef>
              <c:f>'GST Summary'!$B$20:$B$22</c:f>
              <c:numCache>
                <c:formatCode>General</c:formatCode>
                <c:ptCount val="2"/>
                <c:pt idx="0">
                  <c:v>32</c:v>
                </c:pt>
                <c:pt idx="1">
                  <c:v>18</c:v>
                </c:pt>
              </c:numCache>
            </c:numRef>
          </c:val>
          <c:extLst>
            <c:ext xmlns:c16="http://schemas.microsoft.com/office/drawing/2014/chart" uri="{C3380CC4-5D6E-409C-BE32-E72D297353CC}">
              <c16:uniqueId val="{00000000-EA06-4CEA-83C7-DD2B6213F74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[GST Compliance &amp; Tax Analysis.xlsx]GST Summary!PivotTable6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98862642169732"/>
          <c:y val="0.20992881026857943"/>
          <c:w val="0.62255624296962875"/>
          <c:h val="0.42431102362204726"/>
        </c:manualLayout>
      </c:layout>
      <c:barChart>
        <c:barDir val="col"/>
        <c:grouping val="clustered"/>
        <c:varyColors val="0"/>
        <c:ser>
          <c:idx val="0"/>
          <c:order val="0"/>
          <c:tx>
            <c:strRef>
              <c:f>'GST Summary'!$G$19</c:f>
              <c:strCache>
                <c:ptCount val="1"/>
                <c:pt idx="0">
                  <c:v>Total</c:v>
                </c:pt>
              </c:strCache>
            </c:strRef>
          </c:tx>
          <c:spPr>
            <a:solidFill>
              <a:schemeClr val="accent1"/>
            </a:solidFill>
            <a:ln>
              <a:noFill/>
            </a:ln>
            <a:effectLst/>
          </c:spPr>
          <c:invertIfNegative val="0"/>
          <c:cat>
            <c:strRef>
              <c:f>'GST Summary'!$F$20:$F$28</c:f>
              <c:strCache>
                <c:ptCount val="8"/>
                <c:pt idx="0">
                  <c:v>Desk</c:v>
                </c:pt>
                <c:pt idx="1">
                  <c:v>Keyboard</c:v>
                </c:pt>
                <c:pt idx="2">
                  <c:v>Laptop</c:v>
                </c:pt>
                <c:pt idx="3">
                  <c:v>Monitor</c:v>
                </c:pt>
                <c:pt idx="4">
                  <c:v>Mouse</c:v>
                </c:pt>
                <c:pt idx="5">
                  <c:v>Office Chair</c:v>
                </c:pt>
                <c:pt idx="6">
                  <c:v>Printer</c:v>
                </c:pt>
                <c:pt idx="7">
                  <c:v>Router</c:v>
                </c:pt>
              </c:strCache>
            </c:strRef>
          </c:cat>
          <c:val>
            <c:numRef>
              <c:f>'GST Summary'!$G$20:$G$28</c:f>
              <c:numCache>
                <c:formatCode>General</c:formatCode>
                <c:ptCount val="8"/>
                <c:pt idx="0">
                  <c:v>173723.73</c:v>
                </c:pt>
                <c:pt idx="1">
                  <c:v>344863.35999999993</c:v>
                </c:pt>
                <c:pt idx="2">
                  <c:v>229617.81</c:v>
                </c:pt>
                <c:pt idx="3">
                  <c:v>163282.89999999997</c:v>
                </c:pt>
                <c:pt idx="4">
                  <c:v>131929.63</c:v>
                </c:pt>
                <c:pt idx="5">
                  <c:v>274205.73</c:v>
                </c:pt>
                <c:pt idx="6">
                  <c:v>117597.65</c:v>
                </c:pt>
                <c:pt idx="7">
                  <c:v>138107.87</c:v>
                </c:pt>
              </c:numCache>
            </c:numRef>
          </c:val>
          <c:extLst>
            <c:ext xmlns:c16="http://schemas.microsoft.com/office/drawing/2014/chart" uri="{C3380CC4-5D6E-409C-BE32-E72D297353CC}">
              <c16:uniqueId val="{00000000-F238-47B7-9D9C-34391D1231EA}"/>
            </c:ext>
          </c:extLst>
        </c:ser>
        <c:dLbls>
          <c:showLegendKey val="0"/>
          <c:showVal val="0"/>
          <c:showCatName val="0"/>
          <c:showSerName val="0"/>
          <c:showPercent val="0"/>
          <c:showBubbleSize val="0"/>
        </c:dLbls>
        <c:gapWidth val="219"/>
        <c:overlap val="-27"/>
        <c:axId val="581539056"/>
        <c:axId val="578045136"/>
      </c:barChart>
      <c:catAx>
        <c:axId val="58153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45136"/>
        <c:crosses val="autoZero"/>
        <c:auto val="1"/>
        <c:lblAlgn val="ctr"/>
        <c:lblOffset val="100"/>
        <c:noMultiLvlLbl val="0"/>
      </c:catAx>
      <c:valAx>
        <c:axId val="57804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53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[GST Compliance &amp; Tax Analysis.xlsx]GST Summary!PivotTable2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93772436026235"/>
          <c:y val="0.16570018182817356"/>
          <c:w val="0.73531164011319905"/>
          <c:h val="0.30852475813226288"/>
        </c:manualLayout>
      </c:layout>
      <c:lineChart>
        <c:grouping val="standard"/>
        <c:varyColors val="0"/>
        <c:ser>
          <c:idx val="0"/>
          <c:order val="0"/>
          <c:tx>
            <c:strRef>
              <c:f>'GST Summary'!$B$3</c:f>
              <c:strCache>
                <c:ptCount val="1"/>
                <c:pt idx="0">
                  <c:v>Total</c:v>
                </c:pt>
              </c:strCache>
            </c:strRef>
          </c:tx>
          <c:spPr>
            <a:ln w="28575" cap="rnd">
              <a:solidFill>
                <a:schemeClr val="accent1"/>
              </a:solidFill>
              <a:round/>
            </a:ln>
            <a:effectLst/>
          </c:spPr>
          <c:marker>
            <c:symbol val="none"/>
          </c:marker>
          <c:cat>
            <c:strRef>
              <c:f>'GST Summary'!$A$4:$A$8</c:f>
              <c:strCache>
                <c:ptCount val="4"/>
                <c:pt idx="0">
                  <c:v>Apr</c:v>
                </c:pt>
                <c:pt idx="1">
                  <c:v>May</c:v>
                </c:pt>
                <c:pt idx="2">
                  <c:v>Jun</c:v>
                </c:pt>
                <c:pt idx="3">
                  <c:v>Jul</c:v>
                </c:pt>
              </c:strCache>
            </c:strRef>
          </c:cat>
          <c:val>
            <c:numRef>
              <c:f>'GST Summary'!$B$4:$B$8</c:f>
              <c:numCache>
                <c:formatCode>General</c:formatCode>
                <c:ptCount val="4"/>
                <c:pt idx="0">
                  <c:v>358815</c:v>
                </c:pt>
                <c:pt idx="1">
                  <c:v>372965</c:v>
                </c:pt>
                <c:pt idx="2">
                  <c:v>346448</c:v>
                </c:pt>
                <c:pt idx="3">
                  <c:v>332361</c:v>
                </c:pt>
              </c:numCache>
            </c:numRef>
          </c:val>
          <c:smooth val="0"/>
          <c:extLst>
            <c:ext xmlns:c16="http://schemas.microsoft.com/office/drawing/2014/chart" uri="{C3380CC4-5D6E-409C-BE32-E72D297353CC}">
              <c16:uniqueId val="{00000033-98FF-40B4-A992-36AF825E28EA}"/>
            </c:ext>
          </c:extLst>
        </c:ser>
        <c:dLbls>
          <c:showLegendKey val="0"/>
          <c:showVal val="0"/>
          <c:showCatName val="0"/>
          <c:showSerName val="0"/>
          <c:showPercent val="0"/>
          <c:showBubbleSize val="0"/>
        </c:dLbls>
        <c:smooth val="0"/>
        <c:axId val="489553152"/>
        <c:axId val="303610576"/>
      </c:lineChart>
      <c:catAx>
        <c:axId val="48955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610576"/>
        <c:crosses val="autoZero"/>
        <c:auto val="1"/>
        <c:lblAlgn val="ctr"/>
        <c:lblOffset val="100"/>
        <c:noMultiLvlLbl val="0"/>
      </c:catAx>
      <c:valAx>
        <c:axId val="30361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5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[GST Compliance &amp; Tax Analysis.xlsx]GST Summary!PivotTable3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70341207349079"/>
          <c:y val="0.14554068010345089"/>
          <c:w val="0.62648539799121028"/>
          <c:h val="0.47991183962840128"/>
        </c:manualLayout>
      </c:layout>
      <c:barChart>
        <c:barDir val="col"/>
        <c:grouping val="clustered"/>
        <c:varyColors val="0"/>
        <c:ser>
          <c:idx val="0"/>
          <c:order val="0"/>
          <c:tx>
            <c:strRef>
              <c:f>'GST Summary'!$G$2</c:f>
              <c:strCache>
                <c:ptCount val="1"/>
                <c:pt idx="0">
                  <c:v>Total</c:v>
                </c:pt>
              </c:strCache>
            </c:strRef>
          </c:tx>
          <c:spPr>
            <a:solidFill>
              <a:schemeClr val="accent1"/>
            </a:solidFill>
            <a:ln>
              <a:noFill/>
            </a:ln>
            <a:effectLst/>
          </c:spPr>
          <c:invertIfNegative val="0"/>
          <c:cat>
            <c:strRef>
              <c:f>'GST Summary'!$F$3:$F$6</c:f>
              <c:strCache>
                <c:ptCount val="3"/>
                <c:pt idx="0">
                  <c:v>5</c:v>
                </c:pt>
                <c:pt idx="1">
                  <c:v>12</c:v>
                </c:pt>
                <c:pt idx="2">
                  <c:v>18</c:v>
                </c:pt>
              </c:strCache>
            </c:strRef>
          </c:cat>
          <c:val>
            <c:numRef>
              <c:f>'GST Summary'!$G$3:$G$6</c:f>
              <c:numCache>
                <c:formatCode>General</c:formatCode>
                <c:ptCount val="3"/>
                <c:pt idx="0">
                  <c:v>538746.62</c:v>
                </c:pt>
                <c:pt idx="1">
                  <c:v>456668.8</c:v>
                </c:pt>
                <c:pt idx="2">
                  <c:v>577913.26</c:v>
                </c:pt>
              </c:numCache>
            </c:numRef>
          </c:val>
          <c:extLst>
            <c:ext xmlns:c16="http://schemas.microsoft.com/office/drawing/2014/chart" uri="{C3380CC4-5D6E-409C-BE32-E72D297353CC}">
              <c16:uniqueId val="{00000000-2542-4CA7-9163-A70770957125}"/>
            </c:ext>
          </c:extLst>
        </c:ser>
        <c:dLbls>
          <c:showLegendKey val="0"/>
          <c:showVal val="0"/>
          <c:showCatName val="0"/>
          <c:showSerName val="0"/>
          <c:showPercent val="0"/>
          <c:showBubbleSize val="0"/>
        </c:dLbls>
        <c:gapWidth val="219"/>
        <c:overlap val="-27"/>
        <c:axId val="575239792"/>
        <c:axId val="303607696"/>
      </c:barChart>
      <c:catAx>
        <c:axId val="57523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607696"/>
        <c:crosses val="autoZero"/>
        <c:auto val="1"/>
        <c:lblAlgn val="ctr"/>
        <c:lblOffset val="100"/>
        <c:noMultiLvlLbl val="0"/>
      </c:catAx>
      <c:valAx>
        <c:axId val="30360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3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[GST Compliance &amp; Tax Analysis.xlsx]GST Summary!PivotTable4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738680843844597"/>
          <c:y val="0.19825180197167291"/>
          <c:w val="0.35264340186862397"/>
          <c:h val="0.55969038869019894"/>
        </c:manualLayout>
      </c:layout>
      <c:barChart>
        <c:barDir val="bar"/>
        <c:grouping val="clustered"/>
        <c:varyColors val="0"/>
        <c:ser>
          <c:idx val="0"/>
          <c:order val="0"/>
          <c:tx>
            <c:strRef>
              <c:f>'GST Summary'!$L$2</c:f>
              <c:strCache>
                <c:ptCount val="1"/>
                <c:pt idx="0">
                  <c:v>Total</c:v>
                </c:pt>
              </c:strCache>
            </c:strRef>
          </c:tx>
          <c:spPr>
            <a:solidFill>
              <a:schemeClr val="accent1"/>
            </a:solidFill>
            <a:ln>
              <a:noFill/>
            </a:ln>
            <a:effectLst/>
          </c:spPr>
          <c:invertIfNegative val="0"/>
          <c:cat>
            <c:strRef>
              <c:f>'GST Summary'!$K$3:$K$6</c:f>
              <c:strCache>
                <c:ptCount val="3"/>
                <c:pt idx="0">
                  <c:v>Karnataka</c:v>
                </c:pt>
                <c:pt idx="1">
                  <c:v>Kerala</c:v>
                </c:pt>
                <c:pt idx="2">
                  <c:v>Tamil Nadu</c:v>
                </c:pt>
              </c:strCache>
            </c:strRef>
          </c:cat>
          <c:val>
            <c:numRef>
              <c:f>'GST Summary'!$L$3:$L$6</c:f>
              <c:numCache>
                <c:formatCode>General</c:formatCode>
                <c:ptCount val="3"/>
                <c:pt idx="0">
                  <c:v>523438.12999999989</c:v>
                </c:pt>
                <c:pt idx="1">
                  <c:v>628973.23</c:v>
                </c:pt>
                <c:pt idx="2">
                  <c:v>420917.31999999995</c:v>
                </c:pt>
              </c:numCache>
            </c:numRef>
          </c:val>
          <c:extLst>
            <c:ext xmlns:c16="http://schemas.microsoft.com/office/drawing/2014/chart" uri="{C3380CC4-5D6E-409C-BE32-E72D297353CC}">
              <c16:uniqueId val="{00000000-50EA-4D01-AE7A-1661698A3B84}"/>
            </c:ext>
          </c:extLst>
        </c:ser>
        <c:dLbls>
          <c:showLegendKey val="0"/>
          <c:showVal val="0"/>
          <c:showCatName val="0"/>
          <c:showSerName val="0"/>
          <c:showPercent val="0"/>
          <c:showBubbleSize val="0"/>
        </c:dLbls>
        <c:gapWidth val="182"/>
        <c:axId val="500405776"/>
        <c:axId val="578052336"/>
      </c:barChart>
      <c:catAx>
        <c:axId val="50040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52336"/>
        <c:crosses val="autoZero"/>
        <c:auto val="1"/>
        <c:lblAlgn val="ctr"/>
        <c:lblOffset val="100"/>
        <c:noMultiLvlLbl val="0"/>
      </c:catAx>
      <c:valAx>
        <c:axId val="578052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40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[GST Compliance &amp; Tax Analysis.xlsx]GST Summary!PivotTable6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5337087567769"/>
          <c:y val="0.14678857735706058"/>
          <c:w val="0.7655373335807748"/>
          <c:h val="0.41422164665889166"/>
        </c:manualLayout>
      </c:layout>
      <c:barChart>
        <c:barDir val="col"/>
        <c:grouping val="clustered"/>
        <c:varyColors val="0"/>
        <c:ser>
          <c:idx val="0"/>
          <c:order val="0"/>
          <c:tx>
            <c:strRef>
              <c:f>'GST Summary'!$G$19</c:f>
              <c:strCache>
                <c:ptCount val="1"/>
                <c:pt idx="0">
                  <c:v>Total</c:v>
                </c:pt>
              </c:strCache>
            </c:strRef>
          </c:tx>
          <c:spPr>
            <a:solidFill>
              <a:schemeClr val="accent1"/>
            </a:solidFill>
            <a:ln>
              <a:noFill/>
            </a:ln>
            <a:effectLst/>
          </c:spPr>
          <c:invertIfNegative val="0"/>
          <c:cat>
            <c:strRef>
              <c:f>'GST Summary'!$F$20:$F$28</c:f>
              <c:strCache>
                <c:ptCount val="8"/>
                <c:pt idx="0">
                  <c:v>Desk</c:v>
                </c:pt>
                <c:pt idx="1">
                  <c:v>Keyboard</c:v>
                </c:pt>
                <c:pt idx="2">
                  <c:v>Laptop</c:v>
                </c:pt>
                <c:pt idx="3">
                  <c:v>Monitor</c:v>
                </c:pt>
                <c:pt idx="4">
                  <c:v>Mouse</c:v>
                </c:pt>
                <c:pt idx="5">
                  <c:v>Office Chair</c:v>
                </c:pt>
                <c:pt idx="6">
                  <c:v>Printer</c:v>
                </c:pt>
                <c:pt idx="7">
                  <c:v>Router</c:v>
                </c:pt>
              </c:strCache>
            </c:strRef>
          </c:cat>
          <c:val>
            <c:numRef>
              <c:f>'GST Summary'!$G$20:$G$28</c:f>
              <c:numCache>
                <c:formatCode>General</c:formatCode>
                <c:ptCount val="8"/>
                <c:pt idx="0">
                  <c:v>173723.73</c:v>
                </c:pt>
                <c:pt idx="1">
                  <c:v>344863.35999999993</c:v>
                </c:pt>
                <c:pt idx="2">
                  <c:v>229617.81</c:v>
                </c:pt>
                <c:pt idx="3">
                  <c:v>163282.89999999997</c:v>
                </c:pt>
                <c:pt idx="4">
                  <c:v>131929.63</c:v>
                </c:pt>
                <c:pt idx="5">
                  <c:v>274205.73</c:v>
                </c:pt>
                <c:pt idx="6">
                  <c:v>117597.65</c:v>
                </c:pt>
                <c:pt idx="7">
                  <c:v>138107.87</c:v>
                </c:pt>
              </c:numCache>
            </c:numRef>
          </c:val>
          <c:extLst>
            <c:ext xmlns:c16="http://schemas.microsoft.com/office/drawing/2014/chart" uri="{C3380CC4-5D6E-409C-BE32-E72D297353CC}">
              <c16:uniqueId val="{00000000-A3B6-4214-A124-569C5B152567}"/>
            </c:ext>
          </c:extLst>
        </c:ser>
        <c:dLbls>
          <c:showLegendKey val="0"/>
          <c:showVal val="0"/>
          <c:showCatName val="0"/>
          <c:showSerName val="0"/>
          <c:showPercent val="0"/>
          <c:showBubbleSize val="0"/>
        </c:dLbls>
        <c:gapWidth val="219"/>
        <c:overlap val="-27"/>
        <c:axId val="581539056"/>
        <c:axId val="578045136"/>
      </c:barChart>
      <c:catAx>
        <c:axId val="58153905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78045136"/>
        <c:crosses val="autoZero"/>
        <c:auto val="1"/>
        <c:lblAlgn val="ctr"/>
        <c:lblOffset val="100"/>
        <c:noMultiLvlLbl val="0"/>
      </c:catAx>
      <c:valAx>
        <c:axId val="57804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53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[GST Compliance &amp; Tax Analysis.xlsx]GST Summary!PivotTable5</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8.2468883145658284E-2"/>
          <c:y val="0.26483274226013609"/>
          <c:w val="0.35514397073393639"/>
          <c:h val="0.68751098277900258"/>
        </c:manualLayout>
      </c:layout>
      <c:pieChart>
        <c:varyColors val="1"/>
        <c:ser>
          <c:idx val="0"/>
          <c:order val="0"/>
          <c:tx>
            <c:strRef>
              <c:f>'GST Summary'!$B$19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B5-40B1-A55A-42586B6465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B5-40B1-A55A-42586B646526}"/>
              </c:ext>
            </c:extLst>
          </c:dPt>
          <c:cat>
            <c:strRef>
              <c:f>'GST Summary'!$A$20:$A$22</c:f>
              <c:strCache>
                <c:ptCount val="2"/>
                <c:pt idx="0">
                  <c:v>Paid</c:v>
                </c:pt>
                <c:pt idx="1">
                  <c:v>Pending</c:v>
                </c:pt>
              </c:strCache>
            </c:strRef>
          </c:cat>
          <c:val>
            <c:numRef>
              <c:f>'GST Summary'!$B$20:$B$22</c:f>
              <c:numCache>
                <c:formatCode>General</c:formatCode>
                <c:ptCount val="2"/>
                <c:pt idx="0">
                  <c:v>32</c:v>
                </c:pt>
                <c:pt idx="1">
                  <c:v>18</c:v>
                </c:pt>
              </c:numCache>
            </c:numRef>
          </c:val>
          <c:extLst>
            <c:ext xmlns:c16="http://schemas.microsoft.com/office/drawing/2014/chart" uri="{C3380CC4-5D6E-409C-BE32-E72D297353CC}">
              <c16:uniqueId val="{00000004-71B5-40B1-A55A-42586B64652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47667209413992767"/>
          <c:y val="0.3382875650979264"/>
          <c:w val="0.43221649790267785"/>
          <c:h val="0.388253218952682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163830</xdr:rowOff>
    </xdr:from>
    <xdr:to>
      <xdr:col>3</xdr:col>
      <xdr:colOff>304800</xdr:colOff>
      <xdr:row>16</xdr:row>
      <xdr:rowOff>22860</xdr:rowOff>
    </xdr:to>
    <xdr:graphicFrame macro="">
      <xdr:nvGraphicFramePr>
        <xdr:cNvPr id="2" name="Chart 1">
          <a:extLst>
            <a:ext uri="{FF2B5EF4-FFF2-40B4-BE49-F238E27FC236}">
              <a16:creationId xmlns:a16="http://schemas.microsoft.com/office/drawing/2014/main" id="{D7B34D26-7E46-A1C1-2E7A-4919E88FC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975360</xdr:colOff>
      <xdr:row>5</xdr:row>
      <xdr:rowOff>171450</xdr:rowOff>
    </xdr:from>
    <xdr:to>
      <xdr:col>9</xdr:col>
      <xdr:colOff>533400</xdr:colOff>
      <xdr:row>15</xdr:row>
      <xdr:rowOff>152400</xdr:rowOff>
    </xdr:to>
    <xdr:graphicFrame macro="">
      <xdr:nvGraphicFramePr>
        <xdr:cNvPr id="3" name="Chart 2">
          <a:extLst>
            <a:ext uri="{FF2B5EF4-FFF2-40B4-BE49-F238E27FC236}">
              <a16:creationId xmlns:a16="http://schemas.microsoft.com/office/drawing/2014/main" id="{B01DC331-37C0-BBE1-0DEC-9F263313F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15240</xdr:colOff>
      <xdr:row>6</xdr:row>
      <xdr:rowOff>0</xdr:rowOff>
    </xdr:from>
    <xdr:to>
      <xdr:col>13</xdr:col>
      <xdr:colOff>152400</xdr:colOff>
      <xdr:row>16</xdr:row>
      <xdr:rowOff>7620</xdr:rowOff>
    </xdr:to>
    <xdr:graphicFrame macro="">
      <xdr:nvGraphicFramePr>
        <xdr:cNvPr id="4" name="Chart 3">
          <a:extLst>
            <a:ext uri="{FF2B5EF4-FFF2-40B4-BE49-F238E27FC236}">
              <a16:creationId xmlns:a16="http://schemas.microsoft.com/office/drawing/2014/main" id="{DC3D6587-6761-94F6-2FBD-2D7D28D17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167640</xdr:rowOff>
    </xdr:from>
    <xdr:to>
      <xdr:col>3</xdr:col>
      <xdr:colOff>342900</xdr:colOff>
      <xdr:row>30</xdr:row>
      <xdr:rowOff>106680</xdr:rowOff>
    </xdr:to>
    <xdr:graphicFrame macro="">
      <xdr:nvGraphicFramePr>
        <xdr:cNvPr id="5" name="Chart 4">
          <a:extLst>
            <a:ext uri="{FF2B5EF4-FFF2-40B4-BE49-F238E27FC236}">
              <a16:creationId xmlns:a16="http://schemas.microsoft.com/office/drawing/2014/main" id="{CF3324A7-E588-DCA1-7A8D-EEEB4AD25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22860</xdr:colOff>
      <xdr:row>17</xdr:row>
      <xdr:rowOff>175260</xdr:rowOff>
    </xdr:from>
    <xdr:to>
      <xdr:col>9</xdr:col>
      <xdr:colOff>1203960</xdr:colOff>
      <xdr:row>30</xdr:row>
      <xdr:rowOff>22860</xdr:rowOff>
    </xdr:to>
    <xdr:graphicFrame macro="">
      <xdr:nvGraphicFramePr>
        <xdr:cNvPr id="6" name="Chart 5">
          <a:extLst>
            <a:ext uri="{FF2B5EF4-FFF2-40B4-BE49-F238E27FC236}">
              <a16:creationId xmlns:a16="http://schemas.microsoft.com/office/drawing/2014/main" id="{E590F21D-7A42-B25B-9CBD-5F2901141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469281</xdr:colOff>
      <xdr:row>17</xdr:row>
      <xdr:rowOff>27878</xdr:rowOff>
    </xdr:from>
    <xdr:to>
      <xdr:col>17</xdr:col>
      <xdr:colOff>469281</xdr:colOff>
      <xdr:row>25</xdr:row>
      <xdr:rowOff>58358</xdr:rowOff>
    </xdr:to>
    <mc:AlternateContent xmlns:mc="http://schemas.openxmlformats.org/markup-compatibility/2006">
      <mc:Choice xmlns:a14="http://schemas.microsoft.com/office/drawing/2010/main" Requires="a14">
        <xdr:graphicFrame macro="">
          <xdr:nvGraphicFramePr>
            <xdr:cNvPr id="7" name="State">
              <a:extLst>
                <a:ext uri="{FF2B5EF4-FFF2-40B4-BE49-F238E27FC236}">
                  <a16:creationId xmlns:a16="http://schemas.microsoft.com/office/drawing/2014/main" id="{05FAE806-C2F7-CD53-18E7-90512B47BEC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875013" y="3187390"/>
              <a:ext cx="1839951" cy="1517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1188720</xdr:colOff>
      <xdr:row>17</xdr:row>
      <xdr:rowOff>30480</xdr:rowOff>
    </xdr:from>
    <xdr:to>
      <xdr:col>11</xdr:col>
      <xdr:colOff>1066800</xdr:colOff>
      <xdr:row>30</xdr:row>
      <xdr:rowOff>120015</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99EC6914-EECE-388F-2B7B-81D1F535FA5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152549" y="3189992"/>
              <a:ext cx="1829544" cy="2505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1124414</xdr:colOff>
      <xdr:row>24</xdr:row>
      <xdr:rowOff>83635</xdr:rowOff>
    </xdr:from>
    <xdr:to>
      <xdr:col>14</xdr:col>
      <xdr:colOff>470209</xdr:colOff>
      <xdr:row>31</xdr:row>
      <xdr:rowOff>83635</xdr:rowOff>
    </xdr:to>
    <mc:AlternateContent xmlns:mc="http://schemas.openxmlformats.org/markup-compatibility/2006">
      <mc:Choice xmlns:a14="http://schemas.microsoft.com/office/drawing/2010/main" Requires="a14">
        <xdr:graphicFrame macro="">
          <xdr:nvGraphicFramePr>
            <xdr:cNvPr id="9" name="GST Rate (%)">
              <a:extLst>
                <a:ext uri="{FF2B5EF4-FFF2-40B4-BE49-F238E27FC236}">
                  <a16:creationId xmlns:a16="http://schemas.microsoft.com/office/drawing/2014/main" id="{BA316EB0-C151-6729-AD4D-B2BD84504BBE}"/>
                </a:ext>
              </a:extLst>
            </xdr:cNvPr>
            <xdr:cNvGraphicFramePr/>
          </xdr:nvGraphicFramePr>
          <xdr:xfrm>
            <a:off x="0" y="0"/>
            <a:ext cx="0" cy="0"/>
          </xdr:xfrm>
          <a:graphic>
            <a:graphicData uri="http://schemas.microsoft.com/office/drawing/2010/slicer">
              <sle:slicer xmlns:sle="http://schemas.microsoft.com/office/drawing/2010/slicer" name="GST Rate (%)"/>
            </a:graphicData>
          </a:graphic>
        </xdr:graphicFrame>
      </mc:Choice>
      <mc:Fallback>
        <xdr:sp macro="" textlink="">
          <xdr:nvSpPr>
            <xdr:cNvPr id="0" name=""/>
            <xdr:cNvSpPr>
              <a:spLocks noTextEdit="1"/>
            </xdr:cNvSpPr>
          </xdr:nvSpPr>
          <xdr:spPr>
            <a:xfrm>
              <a:off x="11039707" y="4544123"/>
              <a:ext cx="1836234" cy="1300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1088359</xdr:colOff>
      <xdr:row>17</xdr:row>
      <xdr:rowOff>49253</xdr:rowOff>
    </xdr:from>
    <xdr:to>
      <xdr:col>14</xdr:col>
      <xdr:colOff>434154</xdr:colOff>
      <xdr:row>23</xdr:row>
      <xdr:rowOff>136045</xdr:rowOff>
    </xdr:to>
    <mc:AlternateContent xmlns:mc="http://schemas.openxmlformats.org/markup-compatibility/2006">
      <mc:Choice xmlns:a14="http://schemas.microsoft.com/office/drawing/2010/main" Requires="a14">
        <xdr:graphicFrame macro="">
          <xdr:nvGraphicFramePr>
            <xdr:cNvPr id="10" name="Payment Status">
              <a:extLst>
                <a:ext uri="{FF2B5EF4-FFF2-40B4-BE49-F238E27FC236}">
                  <a16:creationId xmlns:a16="http://schemas.microsoft.com/office/drawing/2014/main" id="{06CFB8F6-FBBC-D112-B967-153152E9958A}"/>
                </a:ext>
              </a:extLst>
            </xdr:cNvPr>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dr:sp macro="" textlink="">
          <xdr:nvSpPr>
            <xdr:cNvPr id="0" name=""/>
            <xdr:cNvSpPr>
              <a:spLocks noTextEdit="1"/>
            </xdr:cNvSpPr>
          </xdr:nvSpPr>
          <xdr:spPr>
            <a:xfrm>
              <a:off x="11003652" y="3208765"/>
              <a:ext cx="1836234" cy="1201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110113</xdr:colOff>
      <xdr:row>3</xdr:row>
      <xdr:rowOff>29891</xdr:rowOff>
    </xdr:from>
    <xdr:to>
      <xdr:col>2</xdr:col>
      <xdr:colOff>117733</xdr:colOff>
      <xdr:row>6</xdr:row>
      <xdr:rowOff>126078</xdr:rowOff>
    </xdr:to>
    <xdr:sp macro="" textlink="">
      <xdr:nvSpPr>
        <xdr:cNvPr id="2" name="Rectangle: Rounded Corners 1">
          <a:extLst>
            <a:ext uri="{FF2B5EF4-FFF2-40B4-BE49-F238E27FC236}">
              <a16:creationId xmlns:a16="http://schemas.microsoft.com/office/drawing/2014/main" id="{BFF6E0AC-AA92-1ED6-3499-538D2B77E034}"/>
            </a:ext>
          </a:extLst>
        </xdr:cNvPr>
        <xdr:cNvSpPr/>
      </xdr:nvSpPr>
      <xdr:spPr>
        <a:xfrm>
          <a:off x="110113" y="541335"/>
          <a:ext cx="1226820" cy="517224"/>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 CGST</a:t>
          </a:r>
        </a:p>
      </xdr:txBody>
    </xdr:sp>
    <xdr:clientData/>
  </xdr:twoCellAnchor>
  <xdr:twoCellAnchor>
    <xdr:from>
      <xdr:col>2</xdr:col>
      <xdr:colOff>400277</xdr:colOff>
      <xdr:row>3</xdr:row>
      <xdr:rowOff>157415</xdr:rowOff>
    </xdr:from>
    <xdr:to>
      <xdr:col>4</xdr:col>
      <xdr:colOff>423137</xdr:colOff>
      <xdr:row>6</xdr:row>
      <xdr:rowOff>135076</xdr:rowOff>
    </xdr:to>
    <xdr:sp macro="" textlink="">
      <xdr:nvSpPr>
        <xdr:cNvPr id="7" name="Rectangle: Rounded Corners 6">
          <a:extLst>
            <a:ext uri="{FF2B5EF4-FFF2-40B4-BE49-F238E27FC236}">
              <a16:creationId xmlns:a16="http://schemas.microsoft.com/office/drawing/2014/main" id="{CE80E002-8C54-40D8-8E3F-D03CAC87294D}"/>
            </a:ext>
          </a:extLst>
        </xdr:cNvPr>
        <xdr:cNvSpPr/>
      </xdr:nvSpPr>
      <xdr:spPr>
        <a:xfrm>
          <a:off x="1624687" y="711005"/>
          <a:ext cx="1247271" cy="524738"/>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 SGST</a:t>
          </a:r>
        </a:p>
      </xdr:txBody>
    </xdr:sp>
    <xdr:clientData/>
  </xdr:twoCellAnchor>
  <xdr:twoCellAnchor>
    <xdr:from>
      <xdr:col>5</xdr:col>
      <xdr:colOff>149691</xdr:colOff>
      <xdr:row>3</xdr:row>
      <xdr:rowOff>43090</xdr:rowOff>
    </xdr:from>
    <xdr:to>
      <xdr:col>7</xdr:col>
      <xdr:colOff>164931</xdr:colOff>
      <xdr:row>6</xdr:row>
      <xdr:rowOff>153869</xdr:rowOff>
    </xdr:to>
    <xdr:sp macro="" textlink="">
      <xdr:nvSpPr>
        <xdr:cNvPr id="9" name="Rectangle: Rounded Corners 8">
          <a:extLst>
            <a:ext uri="{FF2B5EF4-FFF2-40B4-BE49-F238E27FC236}">
              <a16:creationId xmlns:a16="http://schemas.microsoft.com/office/drawing/2014/main" id="{D6D4A82D-6973-441E-AC71-E644384CD7EE}"/>
            </a:ext>
          </a:extLst>
        </xdr:cNvPr>
        <xdr:cNvSpPr/>
      </xdr:nvSpPr>
      <xdr:spPr>
        <a:xfrm>
          <a:off x="3202281" y="557210"/>
          <a:ext cx="1236277" cy="533093"/>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a:t>
          </a:r>
          <a:r>
            <a:rPr lang="en-IN" sz="1100" b="1" baseline="0">
              <a:solidFill>
                <a:schemeClr val="tx1"/>
              </a:solidFill>
            </a:rPr>
            <a:t> IGST</a:t>
          </a:r>
          <a:endParaRPr lang="en-IN" sz="1100" b="1">
            <a:solidFill>
              <a:schemeClr val="tx1"/>
            </a:solidFill>
          </a:endParaRPr>
        </a:p>
      </xdr:txBody>
    </xdr:sp>
    <xdr:clientData/>
  </xdr:twoCellAnchor>
  <xdr:twoCellAnchor>
    <xdr:from>
      <xdr:col>0</xdr:col>
      <xdr:colOff>108012</xdr:colOff>
      <xdr:row>6</xdr:row>
      <xdr:rowOff>222905</xdr:rowOff>
    </xdr:from>
    <xdr:to>
      <xdr:col>2</xdr:col>
      <xdr:colOff>476658</xdr:colOff>
      <xdr:row>9</xdr:row>
      <xdr:rowOff>110175</xdr:rowOff>
    </xdr:to>
    <xdr:sp macro="" textlink="">
      <xdr:nvSpPr>
        <xdr:cNvPr id="11" name="Rectangle: Rounded Corners 10">
          <a:extLst>
            <a:ext uri="{FF2B5EF4-FFF2-40B4-BE49-F238E27FC236}">
              <a16:creationId xmlns:a16="http://schemas.microsoft.com/office/drawing/2014/main" id="{3DC74A56-C5BC-435D-AE38-56ABEED8274A}"/>
            </a:ext>
          </a:extLst>
        </xdr:cNvPr>
        <xdr:cNvSpPr/>
      </xdr:nvSpPr>
      <xdr:spPr>
        <a:xfrm>
          <a:off x="108012" y="1159339"/>
          <a:ext cx="1589682" cy="497788"/>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TOTAL</a:t>
          </a:r>
          <a:r>
            <a:rPr lang="en-IN" sz="1100" b="1" baseline="0">
              <a:solidFill>
                <a:schemeClr val="lt1"/>
              </a:solidFill>
              <a:effectLst/>
              <a:latin typeface="+mn-lt"/>
              <a:ea typeface="+mn-ea"/>
              <a:cs typeface="+mn-cs"/>
            </a:rPr>
            <a:t> </a:t>
          </a:r>
          <a:r>
            <a:rPr lang="en-IN" sz="1100" b="1" baseline="0">
              <a:solidFill>
                <a:schemeClr val="tx1"/>
              </a:solidFill>
              <a:effectLst/>
              <a:latin typeface="+mn-lt"/>
              <a:ea typeface="+mn-ea"/>
              <a:cs typeface="+mn-cs"/>
            </a:rPr>
            <a:t>TAXABLE</a:t>
          </a:r>
          <a:r>
            <a:rPr lang="en-IN" sz="1100" b="1" baseline="0">
              <a:solidFill>
                <a:schemeClr val="lt1"/>
              </a:solidFill>
              <a:effectLst/>
              <a:latin typeface="+mn-lt"/>
              <a:ea typeface="+mn-ea"/>
              <a:cs typeface="+mn-cs"/>
            </a:rPr>
            <a:t> </a:t>
          </a:r>
          <a:r>
            <a:rPr lang="en-IN" sz="1100" b="1" baseline="0">
              <a:solidFill>
                <a:schemeClr val="tx1"/>
              </a:solidFill>
              <a:effectLst/>
              <a:latin typeface="+mn-lt"/>
              <a:ea typeface="+mn-ea"/>
              <a:cs typeface="+mn-cs"/>
            </a:rPr>
            <a:t>SALES</a:t>
          </a:r>
          <a:endParaRPr lang="en-IN" b="1">
            <a:solidFill>
              <a:schemeClr val="tx1"/>
            </a:solidFill>
            <a:effectLst/>
          </a:endParaRPr>
        </a:p>
        <a:p>
          <a:pPr algn="l"/>
          <a:br>
            <a:rPr lang="en-IN" sz="1100" b="1">
              <a:solidFill>
                <a:schemeClr val="tx1"/>
              </a:solidFill>
            </a:rPr>
          </a:br>
          <a:endParaRPr lang="en-IN" sz="1100" b="1">
            <a:solidFill>
              <a:schemeClr val="tx1"/>
            </a:solidFill>
          </a:endParaRPr>
        </a:p>
      </xdr:txBody>
    </xdr:sp>
    <xdr:clientData/>
  </xdr:twoCellAnchor>
  <xdr:twoCellAnchor>
    <xdr:from>
      <xdr:col>3</xdr:col>
      <xdr:colOff>189957</xdr:colOff>
      <xdr:row>6</xdr:row>
      <xdr:rowOff>229173</xdr:rowOff>
    </xdr:from>
    <xdr:to>
      <xdr:col>6</xdr:col>
      <xdr:colOff>47939</xdr:colOff>
      <xdr:row>9</xdr:row>
      <xdr:rowOff>109641</xdr:rowOff>
    </xdr:to>
    <xdr:sp macro="" textlink="">
      <xdr:nvSpPr>
        <xdr:cNvPr id="13" name="Rectangle: Rounded Corners 12">
          <a:extLst>
            <a:ext uri="{FF2B5EF4-FFF2-40B4-BE49-F238E27FC236}">
              <a16:creationId xmlns:a16="http://schemas.microsoft.com/office/drawing/2014/main" id="{CC3498ED-7F23-404E-805E-74F16C4ECEF7}"/>
            </a:ext>
          </a:extLst>
        </xdr:cNvPr>
        <xdr:cNvSpPr/>
      </xdr:nvSpPr>
      <xdr:spPr>
        <a:xfrm>
          <a:off x="2020924" y="1164519"/>
          <a:ext cx="1688949" cy="494402"/>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 GST AMOUNT</a:t>
          </a:r>
        </a:p>
        <a:p>
          <a:pPr algn="ctr"/>
          <a:endParaRPr lang="en-IN" sz="1100" b="1">
            <a:solidFill>
              <a:schemeClr val="tx1"/>
            </a:solidFill>
          </a:endParaRPr>
        </a:p>
      </xdr:txBody>
    </xdr:sp>
    <xdr:clientData/>
  </xdr:twoCellAnchor>
  <xdr:twoCellAnchor>
    <xdr:from>
      <xdr:col>7</xdr:col>
      <xdr:colOff>431416</xdr:colOff>
      <xdr:row>3</xdr:row>
      <xdr:rowOff>29252</xdr:rowOff>
    </xdr:from>
    <xdr:to>
      <xdr:col>9</xdr:col>
      <xdr:colOff>454276</xdr:colOff>
      <xdr:row>6</xdr:row>
      <xdr:rowOff>151172</xdr:rowOff>
    </xdr:to>
    <xdr:sp macro="" textlink="">
      <xdr:nvSpPr>
        <xdr:cNvPr id="15" name="Rectangle: Rounded Corners 14">
          <a:extLst>
            <a:ext uri="{FF2B5EF4-FFF2-40B4-BE49-F238E27FC236}">
              <a16:creationId xmlns:a16="http://schemas.microsoft.com/office/drawing/2014/main" id="{D9918084-1B22-44E1-B8C3-B610BA95A989}"/>
            </a:ext>
          </a:extLst>
        </xdr:cNvPr>
        <xdr:cNvSpPr/>
      </xdr:nvSpPr>
      <xdr:spPr>
        <a:xfrm>
          <a:off x="4704510" y="540760"/>
          <a:ext cx="1243744" cy="54081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a:t>
          </a:r>
          <a:r>
            <a:rPr lang="en-IN" sz="1100" b="1" baseline="0">
              <a:solidFill>
                <a:schemeClr val="tx1"/>
              </a:solidFill>
            </a:rPr>
            <a:t> INVOICES</a:t>
          </a:r>
          <a:endParaRPr lang="en-IN" sz="1100" b="1">
            <a:solidFill>
              <a:schemeClr val="tx1"/>
            </a:solidFill>
          </a:endParaRPr>
        </a:p>
      </xdr:txBody>
    </xdr:sp>
    <xdr:clientData/>
  </xdr:twoCellAnchor>
  <xdr:twoCellAnchor>
    <xdr:from>
      <xdr:col>6</xdr:col>
      <xdr:colOff>442872</xdr:colOff>
      <xdr:row>7</xdr:row>
      <xdr:rowOff>0</xdr:rowOff>
    </xdr:from>
    <xdr:to>
      <xdr:col>9</xdr:col>
      <xdr:colOff>448705</xdr:colOff>
      <xdr:row>9</xdr:row>
      <xdr:rowOff>118553</xdr:rowOff>
    </xdr:to>
    <xdr:sp macro="" textlink="">
      <xdr:nvSpPr>
        <xdr:cNvPr id="17" name="Rectangle: Rounded Corners 16">
          <a:extLst>
            <a:ext uri="{FF2B5EF4-FFF2-40B4-BE49-F238E27FC236}">
              <a16:creationId xmlns:a16="http://schemas.microsoft.com/office/drawing/2014/main" id="{98A02765-E082-4027-8C36-6B7276F23C19}"/>
            </a:ext>
          </a:extLst>
        </xdr:cNvPr>
        <xdr:cNvSpPr/>
      </xdr:nvSpPr>
      <xdr:spPr>
        <a:xfrm>
          <a:off x="4086722" y="1290989"/>
          <a:ext cx="1827757" cy="534902"/>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PENDING PAYMENTS</a:t>
          </a:r>
        </a:p>
      </xdr:txBody>
    </xdr:sp>
    <xdr:clientData/>
  </xdr:twoCellAnchor>
  <xdr:twoCellAnchor>
    <xdr:from>
      <xdr:col>0</xdr:col>
      <xdr:colOff>343546</xdr:colOff>
      <xdr:row>5</xdr:row>
      <xdr:rowOff>23355</xdr:rowOff>
    </xdr:from>
    <xdr:to>
      <xdr:col>1</xdr:col>
      <xdr:colOff>488197</xdr:colOff>
      <xdr:row>6</xdr:row>
      <xdr:rowOff>61455</xdr:rowOff>
    </xdr:to>
    <xdr:sp macro="" textlink="'GST Calculation'!B3">
      <xdr:nvSpPr>
        <xdr:cNvPr id="3" name="TextBox 2">
          <a:extLst>
            <a:ext uri="{FF2B5EF4-FFF2-40B4-BE49-F238E27FC236}">
              <a16:creationId xmlns:a16="http://schemas.microsoft.com/office/drawing/2014/main" id="{4060BB76-B94A-2F3E-DCA2-ECC8AA57E636}"/>
            </a:ext>
          </a:extLst>
        </xdr:cNvPr>
        <xdr:cNvSpPr txBox="1"/>
      </xdr:nvSpPr>
      <xdr:spPr>
        <a:xfrm>
          <a:off x="343546" y="772440"/>
          <a:ext cx="754251" cy="2214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2BFC4-3022-49D4-A79B-FC87022E9901}" type="TxLink">
            <a:rPr lang="en-US" sz="1100" b="1" i="0" u="none" strike="noStrike">
              <a:solidFill>
                <a:srgbClr val="000000"/>
              </a:solidFill>
              <a:latin typeface="Calibri"/>
              <a:ea typeface="Calibri"/>
              <a:cs typeface="Calibri"/>
            </a:rPr>
            <a:pPr algn="ctr"/>
            <a:t> ₹ 18,608 </a:t>
          </a:fld>
          <a:endParaRPr lang="en-IN" sz="1100" b="1"/>
        </a:p>
      </xdr:txBody>
    </xdr:sp>
    <xdr:clientData/>
  </xdr:twoCellAnchor>
  <xdr:twoCellAnchor>
    <xdr:from>
      <xdr:col>3</xdr:col>
      <xdr:colOff>19050</xdr:colOff>
      <xdr:row>5</xdr:row>
      <xdr:rowOff>50800</xdr:rowOff>
    </xdr:from>
    <xdr:to>
      <xdr:col>4</xdr:col>
      <xdr:colOff>229870</xdr:colOff>
      <xdr:row>6</xdr:row>
      <xdr:rowOff>81280</xdr:rowOff>
    </xdr:to>
    <xdr:sp macro="" textlink="'GST Calculation'!B4">
      <xdr:nvSpPr>
        <xdr:cNvPr id="4" name="TextBox 3">
          <a:extLst>
            <a:ext uri="{FF2B5EF4-FFF2-40B4-BE49-F238E27FC236}">
              <a16:creationId xmlns:a16="http://schemas.microsoft.com/office/drawing/2014/main" id="{E22A8558-E0F5-11AB-94BA-F7642A9E7F54}"/>
            </a:ext>
          </a:extLst>
        </xdr:cNvPr>
        <xdr:cNvSpPr txBox="1"/>
      </xdr:nvSpPr>
      <xdr:spPr>
        <a:xfrm>
          <a:off x="1847850" y="800100"/>
          <a:ext cx="820420" cy="2146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9DE1E6-B622-47C8-9C29-4A8EAB1E84D8}" type="TxLink">
            <a:rPr lang="en-US" sz="1100" b="1" i="0" u="none" strike="noStrike">
              <a:solidFill>
                <a:srgbClr val="000000"/>
              </a:solidFill>
              <a:latin typeface="Calibri"/>
              <a:ea typeface="Calibri"/>
              <a:cs typeface="Calibri"/>
            </a:rPr>
            <a:pPr algn="ctr"/>
            <a:t> ₹ 18,608 </a:t>
          </a:fld>
          <a:endParaRPr lang="en-IN" sz="1100" b="1"/>
        </a:p>
      </xdr:txBody>
    </xdr:sp>
    <xdr:clientData/>
  </xdr:twoCellAnchor>
  <xdr:twoCellAnchor>
    <xdr:from>
      <xdr:col>5</xdr:col>
      <xdr:colOff>374650</xdr:colOff>
      <xdr:row>5</xdr:row>
      <xdr:rowOff>57150</xdr:rowOff>
    </xdr:from>
    <xdr:to>
      <xdr:col>6</xdr:col>
      <xdr:colOff>577849</xdr:colOff>
      <xdr:row>6</xdr:row>
      <xdr:rowOff>71120</xdr:rowOff>
    </xdr:to>
    <xdr:sp macro="" textlink="'GST Calculation'!B5">
      <xdr:nvSpPr>
        <xdr:cNvPr id="5" name="TextBox 4">
          <a:extLst>
            <a:ext uri="{FF2B5EF4-FFF2-40B4-BE49-F238E27FC236}">
              <a16:creationId xmlns:a16="http://schemas.microsoft.com/office/drawing/2014/main" id="{3AA40F9D-767F-8491-FAC8-B5AB00B14B91}"/>
            </a:ext>
          </a:extLst>
        </xdr:cNvPr>
        <xdr:cNvSpPr txBox="1"/>
      </xdr:nvSpPr>
      <xdr:spPr>
        <a:xfrm>
          <a:off x="3422650" y="806450"/>
          <a:ext cx="812799" cy="198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24745C-CABE-4C46-8F92-CC665544B073}" type="TxLink">
            <a:rPr lang="en-US" sz="1100" b="1" i="0" u="none" strike="noStrike">
              <a:solidFill>
                <a:srgbClr val="000000"/>
              </a:solidFill>
              <a:latin typeface="Calibri"/>
              <a:ea typeface="Calibri"/>
              <a:cs typeface="Calibri"/>
            </a:rPr>
            <a:pPr algn="ctr"/>
            <a:t> ₹ 125,524 </a:t>
          </a:fld>
          <a:endParaRPr lang="en-IN" sz="1100" b="1"/>
        </a:p>
      </xdr:txBody>
    </xdr:sp>
    <xdr:clientData/>
  </xdr:twoCellAnchor>
  <xdr:twoCellAnchor>
    <xdr:from>
      <xdr:col>8</xdr:col>
      <xdr:colOff>145851</xdr:colOff>
      <xdr:row>5</xdr:row>
      <xdr:rowOff>52102</xdr:rowOff>
    </xdr:from>
    <xdr:to>
      <xdr:col>9</xdr:col>
      <xdr:colOff>165607</xdr:colOff>
      <xdr:row>6</xdr:row>
      <xdr:rowOff>74414</xdr:rowOff>
    </xdr:to>
    <xdr:sp macro="" textlink="'GST Calculation'!B8">
      <xdr:nvSpPr>
        <xdr:cNvPr id="6" name="TextBox 5">
          <a:extLst>
            <a:ext uri="{FF2B5EF4-FFF2-40B4-BE49-F238E27FC236}">
              <a16:creationId xmlns:a16="http://schemas.microsoft.com/office/drawing/2014/main" id="{38AAA927-183D-4C4C-D822-00E4754B83A8}"/>
            </a:ext>
          </a:extLst>
        </xdr:cNvPr>
        <xdr:cNvSpPr txBox="1"/>
      </xdr:nvSpPr>
      <xdr:spPr>
        <a:xfrm>
          <a:off x="5027414" y="796243"/>
          <a:ext cx="629951" cy="2038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F7CEE5-2604-44DB-903D-C92F8D7AD6CB}" type="TxLink">
            <a:rPr lang="en-US" sz="1100" b="1" i="0" u="none" strike="noStrike">
              <a:solidFill>
                <a:srgbClr val="000000"/>
              </a:solidFill>
              <a:latin typeface="Calibri"/>
              <a:ea typeface="Calibri"/>
              <a:cs typeface="Calibri"/>
            </a:rPr>
            <a:pPr algn="ctr"/>
            <a:t>50</a:t>
          </a:fld>
          <a:endParaRPr lang="en-IN" sz="1100" b="1"/>
        </a:p>
      </xdr:txBody>
    </xdr:sp>
    <xdr:clientData/>
  </xdr:twoCellAnchor>
  <xdr:twoCellAnchor>
    <xdr:from>
      <xdr:col>0</xdr:col>
      <xdr:colOff>375149</xdr:colOff>
      <xdr:row>8</xdr:row>
      <xdr:rowOff>38101</xdr:rowOff>
    </xdr:from>
    <xdr:to>
      <xdr:col>2</xdr:col>
      <xdr:colOff>46382</xdr:colOff>
      <xdr:row>9</xdr:row>
      <xdr:rowOff>50799</xdr:rowOff>
    </xdr:to>
    <xdr:sp macro="" textlink="'GST Calculation'!B2">
      <xdr:nvSpPr>
        <xdr:cNvPr id="8" name="TextBox 7">
          <a:extLst>
            <a:ext uri="{FF2B5EF4-FFF2-40B4-BE49-F238E27FC236}">
              <a16:creationId xmlns:a16="http://schemas.microsoft.com/office/drawing/2014/main" id="{BF083ED9-46E6-0445-1CC7-7BCECDE58EDE}"/>
            </a:ext>
          </a:extLst>
        </xdr:cNvPr>
        <xdr:cNvSpPr txBox="1"/>
      </xdr:nvSpPr>
      <xdr:spPr>
        <a:xfrm>
          <a:off x="375149" y="1396449"/>
          <a:ext cx="890433" cy="196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76795F-FB0A-40ED-BA56-F0060D8AC4DB}" type="TxLink">
            <a:rPr lang="en-US" sz="1100" b="1" i="0" u="none" strike="noStrike">
              <a:solidFill>
                <a:srgbClr val="000000"/>
              </a:solidFill>
              <a:latin typeface="Calibri"/>
              <a:ea typeface="Calibri"/>
              <a:cs typeface="Calibri"/>
            </a:rPr>
            <a:pPr algn="ctr"/>
            <a:t> ₹ 1,410,589 </a:t>
          </a:fld>
          <a:endParaRPr lang="en-IN" sz="1100" b="1"/>
        </a:p>
      </xdr:txBody>
    </xdr:sp>
    <xdr:clientData/>
  </xdr:twoCellAnchor>
  <xdr:twoCellAnchor>
    <xdr:from>
      <xdr:col>4</xdr:col>
      <xdr:colOff>53009</xdr:colOff>
      <xdr:row>8</xdr:row>
      <xdr:rowOff>44174</xdr:rowOff>
    </xdr:from>
    <xdr:to>
      <xdr:col>5</xdr:col>
      <xdr:colOff>228601</xdr:colOff>
      <xdr:row>9</xdr:row>
      <xdr:rowOff>71120</xdr:rowOff>
    </xdr:to>
    <xdr:sp macro="" textlink="'GST Calculation'!B6">
      <xdr:nvSpPr>
        <xdr:cNvPr id="10" name="TextBox 9">
          <a:extLst>
            <a:ext uri="{FF2B5EF4-FFF2-40B4-BE49-F238E27FC236}">
              <a16:creationId xmlns:a16="http://schemas.microsoft.com/office/drawing/2014/main" id="{F0639BBD-B802-CED7-2BB5-BBE1344F90EE}"/>
            </a:ext>
          </a:extLst>
        </xdr:cNvPr>
        <xdr:cNvSpPr txBox="1"/>
      </xdr:nvSpPr>
      <xdr:spPr>
        <a:xfrm>
          <a:off x="2491409" y="1402522"/>
          <a:ext cx="785192" cy="2102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177CC3-D03B-4C84-B005-69D120AF4BEE}" type="TxLink">
            <a:rPr lang="en-US" sz="1100" b="1" i="0" u="none" strike="noStrike">
              <a:solidFill>
                <a:srgbClr val="000000"/>
              </a:solidFill>
              <a:latin typeface="Calibri"/>
              <a:ea typeface="Calibri"/>
              <a:cs typeface="Calibri"/>
            </a:rPr>
            <a:pPr algn="ctr"/>
            <a:t> ₹ 162,740 </a:t>
          </a:fld>
          <a:endParaRPr lang="en-IN" sz="1100" b="1"/>
        </a:p>
      </xdr:txBody>
    </xdr:sp>
    <xdr:clientData/>
  </xdr:twoCellAnchor>
  <xdr:twoCellAnchor>
    <xdr:from>
      <xdr:col>7</xdr:col>
      <xdr:colOff>417444</xdr:colOff>
      <xdr:row>8</xdr:row>
      <xdr:rowOff>58983</xdr:rowOff>
    </xdr:from>
    <xdr:to>
      <xdr:col>8</xdr:col>
      <xdr:colOff>496495</xdr:colOff>
      <xdr:row>9</xdr:row>
      <xdr:rowOff>78036</xdr:rowOff>
    </xdr:to>
    <xdr:sp macro="" textlink="'GST Calculation'!B9">
      <xdr:nvSpPr>
        <xdr:cNvPr id="12" name="TextBox 11">
          <a:extLst>
            <a:ext uri="{FF2B5EF4-FFF2-40B4-BE49-F238E27FC236}">
              <a16:creationId xmlns:a16="http://schemas.microsoft.com/office/drawing/2014/main" id="{1202E553-56AE-E0C6-5CC9-3382408F8DDD}"/>
            </a:ext>
          </a:extLst>
        </xdr:cNvPr>
        <xdr:cNvSpPr txBox="1"/>
      </xdr:nvSpPr>
      <xdr:spPr>
        <a:xfrm>
          <a:off x="4691071" y="1422320"/>
          <a:ext cx="689569" cy="2026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7E517B-98D8-4407-AA6E-78B2F604FC48}" type="TxLink">
            <a:rPr lang="en-US" sz="1100" b="1" i="0" u="none" strike="noStrike">
              <a:solidFill>
                <a:srgbClr val="000000"/>
              </a:solidFill>
              <a:latin typeface="Calibri"/>
              <a:ea typeface="Calibri"/>
              <a:cs typeface="Calibri"/>
            </a:rPr>
            <a:pPr algn="ctr"/>
            <a:t>18</a:t>
          </a:fld>
          <a:endParaRPr lang="en-IN" sz="1100" b="1"/>
        </a:p>
      </xdr:txBody>
    </xdr:sp>
    <xdr:clientData/>
  </xdr:twoCellAnchor>
  <xdr:twoCellAnchor>
    <xdr:from>
      <xdr:col>0</xdr:col>
      <xdr:colOff>42211</xdr:colOff>
      <xdr:row>10</xdr:row>
      <xdr:rowOff>0</xdr:rowOff>
    </xdr:from>
    <xdr:to>
      <xdr:col>5</xdr:col>
      <xdr:colOff>9647</xdr:colOff>
      <xdr:row>19</xdr:row>
      <xdr:rowOff>63022</xdr:rowOff>
    </xdr:to>
    <xdr:sp macro="" textlink="">
      <xdr:nvSpPr>
        <xdr:cNvPr id="14" name="Rectangle: Rounded Corners 13">
          <a:extLst>
            <a:ext uri="{FF2B5EF4-FFF2-40B4-BE49-F238E27FC236}">
              <a16:creationId xmlns:a16="http://schemas.microsoft.com/office/drawing/2014/main" id="{7BA31220-6652-2C1F-A517-ACC1673A59F9}"/>
            </a:ext>
          </a:extLst>
        </xdr:cNvPr>
        <xdr:cNvSpPr/>
      </xdr:nvSpPr>
      <xdr:spPr>
        <a:xfrm>
          <a:off x="42211" y="1844040"/>
          <a:ext cx="3015436" cy="1907062"/>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MONTHLY</a:t>
          </a:r>
          <a:r>
            <a:rPr lang="en-IN" sz="1200" b="1" baseline="0">
              <a:solidFill>
                <a:sysClr val="windowText" lastClr="000000"/>
              </a:solidFill>
            </a:rPr>
            <a:t> SALES TREND</a:t>
          </a:r>
          <a:endParaRPr lang="en-IN" sz="1200" b="1">
            <a:solidFill>
              <a:sysClr val="windowText" lastClr="000000"/>
            </a:solidFill>
          </a:endParaRPr>
        </a:p>
      </xdr:txBody>
    </xdr:sp>
    <xdr:clientData/>
  </xdr:twoCellAnchor>
  <xdr:twoCellAnchor>
    <xdr:from>
      <xdr:col>5</xdr:col>
      <xdr:colOff>46913</xdr:colOff>
      <xdr:row>10</xdr:row>
      <xdr:rowOff>0</xdr:rowOff>
    </xdr:from>
    <xdr:to>
      <xdr:col>9</xdr:col>
      <xdr:colOff>569556</xdr:colOff>
      <xdr:row>19</xdr:row>
      <xdr:rowOff>74481</xdr:rowOff>
    </xdr:to>
    <xdr:sp macro="" textlink="">
      <xdr:nvSpPr>
        <xdr:cNvPr id="18" name="Rectangle: Rounded Corners 17">
          <a:extLst>
            <a:ext uri="{FF2B5EF4-FFF2-40B4-BE49-F238E27FC236}">
              <a16:creationId xmlns:a16="http://schemas.microsoft.com/office/drawing/2014/main" id="{267F56CA-14EB-40AB-BB56-065ABCEBE054}"/>
            </a:ext>
          </a:extLst>
        </xdr:cNvPr>
        <xdr:cNvSpPr/>
      </xdr:nvSpPr>
      <xdr:spPr>
        <a:xfrm>
          <a:off x="3094913" y="1813560"/>
          <a:ext cx="2961043" cy="1949001"/>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GST</a:t>
          </a:r>
          <a:r>
            <a:rPr lang="en-IN" sz="1200" b="1" baseline="0">
              <a:solidFill>
                <a:sysClr val="windowText" lastClr="000000"/>
              </a:solidFill>
            </a:rPr>
            <a:t> RATE ANALYSIS</a:t>
          </a:r>
          <a:endParaRPr lang="en-IN" sz="1200" b="1">
            <a:solidFill>
              <a:sysClr val="windowText" lastClr="000000"/>
            </a:solidFill>
          </a:endParaRPr>
        </a:p>
      </xdr:txBody>
    </xdr:sp>
    <xdr:clientData/>
  </xdr:twoCellAnchor>
  <xdr:twoCellAnchor>
    <xdr:from>
      <xdr:col>0</xdr:col>
      <xdr:colOff>49508</xdr:colOff>
      <xdr:row>19</xdr:row>
      <xdr:rowOff>174523</xdr:rowOff>
    </xdr:from>
    <xdr:to>
      <xdr:col>4</xdr:col>
      <xdr:colOff>577046</xdr:colOff>
      <xdr:row>27</xdr:row>
      <xdr:rowOff>177609</xdr:rowOff>
    </xdr:to>
    <xdr:sp macro="" textlink="">
      <xdr:nvSpPr>
        <xdr:cNvPr id="20" name="Rectangle: Rounded Corners 19">
          <a:extLst>
            <a:ext uri="{FF2B5EF4-FFF2-40B4-BE49-F238E27FC236}">
              <a16:creationId xmlns:a16="http://schemas.microsoft.com/office/drawing/2014/main" id="{073A64E6-A27E-4C71-9BC1-3A9F12EF65DE}"/>
            </a:ext>
          </a:extLst>
        </xdr:cNvPr>
        <xdr:cNvSpPr/>
      </xdr:nvSpPr>
      <xdr:spPr>
        <a:xfrm>
          <a:off x="49508" y="4053275"/>
          <a:ext cx="2956771" cy="1836469"/>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STATE-WISE SALES</a:t>
          </a:r>
        </a:p>
      </xdr:txBody>
    </xdr:sp>
    <xdr:clientData/>
  </xdr:twoCellAnchor>
  <xdr:twoCellAnchor>
    <xdr:from>
      <xdr:col>5</xdr:col>
      <xdr:colOff>6511</xdr:colOff>
      <xdr:row>20</xdr:row>
      <xdr:rowOff>9293</xdr:rowOff>
    </xdr:from>
    <xdr:to>
      <xdr:col>9</xdr:col>
      <xdr:colOff>561473</xdr:colOff>
      <xdr:row>28</xdr:row>
      <xdr:rowOff>19479</xdr:rowOff>
    </xdr:to>
    <xdr:sp macro="" textlink="">
      <xdr:nvSpPr>
        <xdr:cNvPr id="22" name="Rectangle: Rounded Corners 21">
          <a:extLst>
            <a:ext uri="{FF2B5EF4-FFF2-40B4-BE49-F238E27FC236}">
              <a16:creationId xmlns:a16="http://schemas.microsoft.com/office/drawing/2014/main" id="{FB2119E5-9F3B-4A3E-A8E5-39FBCFAE2DA7}"/>
            </a:ext>
          </a:extLst>
        </xdr:cNvPr>
        <xdr:cNvSpPr/>
      </xdr:nvSpPr>
      <xdr:spPr>
        <a:xfrm>
          <a:off x="3049865" y="3289610"/>
          <a:ext cx="2989645" cy="1455198"/>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PRODUCT WISE SALES</a:t>
          </a:r>
        </a:p>
      </xdr:txBody>
    </xdr:sp>
    <xdr:clientData/>
  </xdr:twoCellAnchor>
  <xdr:twoCellAnchor>
    <xdr:from>
      <xdr:col>0</xdr:col>
      <xdr:colOff>309619</xdr:colOff>
      <xdr:row>11</xdr:row>
      <xdr:rowOff>129540</xdr:rowOff>
    </xdr:from>
    <xdr:to>
      <xdr:col>4</xdr:col>
      <xdr:colOff>434340</xdr:colOff>
      <xdr:row>19</xdr:row>
      <xdr:rowOff>13521</xdr:rowOff>
    </xdr:to>
    <xdr:graphicFrame macro="">
      <xdr:nvGraphicFramePr>
        <xdr:cNvPr id="24" name="Chart 23">
          <a:extLst>
            <a:ext uri="{FF2B5EF4-FFF2-40B4-BE49-F238E27FC236}">
              <a16:creationId xmlns:a16="http://schemas.microsoft.com/office/drawing/2014/main" id="{5D8471ED-00FA-453C-B371-6340CE22A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259080</xdr:colOff>
      <xdr:row>11</xdr:row>
      <xdr:rowOff>114300</xdr:rowOff>
    </xdr:from>
    <xdr:to>
      <xdr:col>9</xdr:col>
      <xdr:colOff>297180</xdr:colOff>
      <xdr:row>19</xdr:row>
      <xdr:rowOff>0</xdr:rowOff>
    </xdr:to>
    <xdr:graphicFrame macro="">
      <xdr:nvGraphicFramePr>
        <xdr:cNvPr id="26" name="Chart 25">
          <a:extLst>
            <a:ext uri="{FF2B5EF4-FFF2-40B4-BE49-F238E27FC236}">
              <a16:creationId xmlns:a16="http://schemas.microsoft.com/office/drawing/2014/main" id="{6392EE37-03B7-4A2B-8856-3E5E71E5F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339699</xdr:colOff>
      <xdr:row>21</xdr:row>
      <xdr:rowOff>121920</xdr:rowOff>
    </xdr:from>
    <xdr:to>
      <xdr:col>4</xdr:col>
      <xdr:colOff>396240</xdr:colOff>
      <xdr:row>27</xdr:row>
      <xdr:rowOff>104903</xdr:rowOff>
    </xdr:to>
    <xdr:graphicFrame macro="">
      <xdr:nvGraphicFramePr>
        <xdr:cNvPr id="28" name="Chart 27">
          <a:extLst>
            <a:ext uri="{FF2B5EF4-FFF2-40B4-BE49-F238E27FC236}">
              <a16:creationId xmlns:a16="http://schemas.microsoft.com/office/drawing/2014/main" id="{6F262630-A8B9-4722-8A18-D805244AE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32485</xdr:colOff>
      <xdr:row>28</xdr:row>
      <xdr:rowOff>75681</xdr:rowOff>
    </xdr:from>
    <xdr:to>
      <xdr:col>4</xdr:col>
      <xdr:colOff>593959</xdr:colOff>
      <xdr:row>36</xdr:row>
      <xdr:rowOff>75361</xdr:rowOff>
    </xdr:to>
    <xdr:sp macro="" textlink="">
      <xdr:nvSpPr>
        <xdr:cNvPr id="34" name="Rectangle: Rounded Corners 33">
          <a:extLst>
            <a:ext uri="{FF2B5EF4-FFF2-40B4-BE49-F238E27FC236}">
              <a16:creationId xmlns:a16="http://schemas.microsoft.com/office/drawing/2014/main" id="{230FA70F-D42E-42E2-B261-1C4E4DD0F80E}"/>
            </a:ext>
          </a:extLst>
        </xdr:cNvPr>
        <xdr:cNvSpPr/>
      </xdr:nvSpPr>
      <xdr:spPr>
        <a:xfrm>
          <a:off x="32485" y="4865395"/>
          <a:ext cx="3006573" cy="1473439"/>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PAYMENT STATUS</a:t>
          </a:r>
        </a:p>
      </xdr:txBody>
    </xdr:sp>
    <xdr:clientData/>
  </xdr:twoCellAnchor>
  <xdr:twoCellAnchor>
    <xdr:from>
      <xdr:col>5</xdr:col>
      <xdr:colOff>161998</xdr:colOff>
      <xdr:row>21</xdr:row>
      <xdr:rowOff>120249</xdr:rowOff>
    </xdr:from>
    <xdr:to>
      <xdr:col>9</xdr:col>
      <xdr:colOff>433969</xdr:colOff>
      <xdr:row>27</xdr:row>
      <xdr:rowOff>157977</xdr:rowOff>
    </xdr:to>
    <xdr:graphicFrame macro="">
      <xdr:nvGraphicFramePr>
        <xdr:cNvPr id="36" name="Chart 35">
          <a:extLst>
            <a:ext uri="{FF2B5EF4-FFF2-40B4-BE49-F238E27FC236}">
              <a16:creationId xmlns:a16="http://schemas.microsoft.com/office/drawing/2014/main" id="{98F03F52-A007-4788-9B38-0D0E3A93C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22861</xdr:colOff>
      <xdr:row>28</xdr:row>
      <xdr:rowOff>99359</xdr:rowOff>
    </xdr:from>
    <xdr:to>
      <xdr:col>9</xdr:col>
      <xdr:colOff>563880</xdr:colOff>
      <xdr:row>36</xdr:row>
      <xdr:rowOff>83735</xdr:rowOff>
    </xdr:to>
    <xdr:sp macro="" textlink="">
      <xdr:nvSpPr>
        <xdr:cNvPr id="37" name="Rectangle: Rounded Corners 36">
          <a:extLst>
            <a:ext uri="{FF2B5EF4-FFF2-40B4-BE49-F238E27FC236}">
              <a16:creationId xmlns:a16="http://schemas.microsoft.com/office/drawing/2014/main" id="{F146DF6E-87EF-4EA0-94EB-6ABE49E14290}"/>
            </a:ext>
          </a:extLst>
        </xdr:cNvPr>
        <xdr:cNvSpPr/>
      </xdr:nvSpPr>
      <xdr:spPr>
        <a:xfrm>
          <a:off x="3079235" y="4889073"/>
          <a:ext cx="2986118" cy="1458135"/>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KEY INSIGHTS</a:t>
          </a:r>
        </a:p>
        <a:p>
          <a:pPr algn="l"/>
          <a:r>
            <a:rPr lang="en-IN">
              <a:solidFill>
                <a:sysClr val="windowText" lastClr="000000"/>
              </a:solidFill>
            </a:rPr>
            <a:t>• Most invoices were taxed at the 18% GST</a:t>
          </a:r>
        </a:p>
        <a:p>
          <a:pPr algn="l"/>
          <a:r>
            <a:rPr lang="en-IN">
              <a:solidFill>
                <a:sysClr val="windowText" lastClr="000000"/>
              </a:solidFill>
            </a:rPr>
            <a:t>   rates.</a:t>
          </a:r>
        </a:p>
        <a:p>
          <a:pPr algn="l"/>
          <a:r>
            <a:rPr lang="en-IN">
              <a:solidFill>
                <a:sysClr val="windowText" lastClr="000000"/>
              </a:solidFill>
            </a:rPr>
            <a:t>• Taxable sales were concentrated in a few   </a:t>
          </a:r>
        </a:p>
        <a:p>
          <a:pPr marL="0" marR="0" lvl="0" indent="0" algn="l" defTabSz="914400" eaLnBrk="1" fontAlgn="auto" latinLnBrk="0" hangingPunct="1">
            <a:lnSpc>
              <a:spcPct val="100000"/>
            </a:lnSpc>
            <a:spcBef>
              <a:spcPts val="0"/>
            </a:spcBef>
            <a:spcAft>
              <a:spcPts val="0"/>
            </a:spcAft>
            <a:buClrTx/>
            <a:buSzTx/>
            <a:buFontTx/>
            <a:buNone/>
            <a:tabLst/>
            <a:defRPr/>
          </a:pPr>
          <a:r>
            <a:rPr lang="en-IN">
              <a:solidFill>
                <a:sysClr val="windowText" lastClr="000000"/>
              </a:solidFill>
            </a:rPr>
            <a:t>    </a:t>
          </a:r>
          <a:r>
            <a:rPr lang="en-IN" sz="1100">
              <a:solidFill>
                <a:sysClr val="windowText" lastClr="000000"/>
              </a:solidFill>
              <a:effectLst/>
              <a:latin typeface="+mn-lt"/>
              <a:ea typeface="+mn-ea"/>
              <a:cs typeface="+mn-cs"/>
            </a:rPr>
            <a:t>key states.</a:t>
          </a:r>
          <a:endParaRPr lang="en-IN">
            <a:solidFill>
              <a:sysClr val="windowText" lastClr="000000"/>
            </a:solidFill>
          </a:endParaRPr>
        </a:p>
        <a:p>
          <a:pPr algn="l"/>
          <a:r>
            <a:rPr lang="en-IN">
              <a:solidFill>
                <a:sysClr val="windowText" lastClr="000000"/>
              </a:solidFill>
            </a:rPr>
            <a:t>• Monthly sales remained consistent</a:t>
          </a:r>
        </a:p>
        <a:p>
          <a:pPr algn="l"/>
          <a:r>
            <a:rPr lang="en-IN">
              <a:solidFill>
                <a:sysClr val="windowText" lastClr="000000"/>
              </a:solidFill>
            </a:rPr>
            <a:t>   throughout the reporting period.</a:t>
          </a:r>
          <a:endParaRPr lang="en-IN" sz="1100">
            <a:solidFill>
              <a:sysClr val="windowText" lastClr="000000"/>
            </a:solidFill>
          </a:endParaRPr>
        </a:p>
      </xdr:txBody>
    </xdr:sp>
    <xdr:clientData/>
  </xdr:twoCellAnchor>
  <xdr:twoCellAnchor>
    <xdr:from>
      <xdr:col>0</xdr:col>
      <xdr:colOff>477297</xdr:colOff>
      <xdr:row>30</xdr:row>
      <xdr:rowOff>40091</xdr:rowOff>
    </xdr:from>
    <xdr:to>
      <xdr:col>4</xdr:col>
      <xdr:colOff>226088</xdr:colOff>
      <xdr:row>35</xdr:row>
      <xdr:rowOff>167471</xdr:rowOff>
    </xdr:to>
    <xdr:graphicFrame macro="">
      <xdr:nvGraphicFramePr>
        <xdr:cNvPr id="51" name="Chart 50">
          <a:extLst>
            <a:ext uri="{FF2B5EF4-FFF2-40B4-BE49-F238E27FC236}">
              <a16:creationId xmlns:a16="http://schemas.microsoft.com/office/drawing/2014/main" id="{C249EAB9-63D5-4B92-9536-87D34B470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33495</xdr:colOff>
      <xdr:row>37</xdr:row>
      <xdr:rowOff>8375</xdr:rowOff>
    </xdr:from>
    <xdr:to>
      <xdr:col>9</xdr:col>
      <xdr:colOff>552659</xdr:colOff>
      <xdr:row>48</xdr:row>
      <xdr:rowOff>25121</xdr:rowOff>
    </xdr:to>
    <xdr:sp macro="" textlink="">
      <xdr:nvSpPr>
        <xdr:cNvPr id="54" name="Rectangle: Rounded Corners 53">
          <a:extLst>
            <a:ext uri="{FF2B5EF4-FFF2-40B4-BE49-F238E27FC236}">
              <a16:creationId xmlns:a16="http://schemas.microsoft.com/office/drawing/2014/main" id="{F1390586-6098-4684-8D5D-5B7EB2188172}"/>
            </a:ext>
          </a:extLst>
        </xdr:cNvPr>
        <xdr:cNvSpPr/>
      </xdr:nvSpPr>
      <xdr:spPr>
        <a:xfrm>
          <a:off x="33495" y="6456067"/>
          <a:ext cx="6020637" cy="2043164"/>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200" b="1">
            <a:solidFill>
              <a:sysClr val="windowText" lastClr="000000"/>
            </a:solidFill>
          </a:endParaRPr>
        </a:p>
      </xdr:txBody>
    </xdr:sp>
    <xdr:clientData/>
  </xdr:twoCellAnchor>
  <xdr:twoCellAnchor editAs="oneCell">
    <xdr:from>
      <xdr:col>0</xdr:col>
      <xdr:colOff>159101</xdr:colOff>
      <xdr:row>37</xdr:row>
      <xdr:rowOff>142351</xdr:rowOff>
    </xdr:from>
    <xdr:to>
      <xdr:col>2</xdr:col>
      <xdr:colOff>477298</xdr:colOff>
      <xdr:row>47</xdr:row>
      <xdr:rowOff>83734</xdr:rowOff>
    </xdr:to>
    <mc:AlternateContent xmlns:mc="http://schemas.openxmlformats.org/markup-compatibility/2006">
      <mc:Choice xmlns:a14="http://schemas.microsoft.com/office/drawing/2010/main" Requires="a14">
        <xdr:graphicFrame macro="">
          <xdr:nvGraphicFramePr>
            <xdr:cNvPr id="56" name="Product 1">
              <a:extLst>
                <a:ext uri="{FF2B5EF4-FFF2-40B4-BE49-F238E27FC236}">
                  <a16:creationId xmlns:a16="http://schemas.microsoft.com/office/drawing/2014/main" id="{6516A665-3223-4AC9-BE04-D8FC75B9734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59101" y="6591277"/>
              <a:ext cx="1537397" cy="1786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309824</xdr:colOff>
      <xdr:row>37</xdr:row>
      <xdr:rowOff>133978</xdr:rowOff>
    </xdr:from>
    <xdr:to>
      <xdr:col>9</xdr:col>
      <xdr:colOff>452176</xdr:colOff>
      <xdr:row>47</xdr:row>
      <xdr:rowOff>100484</xdr:rowOff>
    </xdr:to>
    <mc:AlternateContent xmlns:mc="http://schemas.openxmlformats.org/markup-compatibility/2006">
      <mc:Choice xmlns:a14="http://schemas.microsoft.com/office/drawing/2010/main" Requires="a14">
        <xdr:graphicFrame macro="">
          <xdr:nvGraphicFramePr>
            <xdr:cNvPr id="58" name="GST Rate (%) 1">
              <a:extLst>
                <a:ext uri="{FF2B5EF4-FFF2-40B4-BE49-F238E27FC236}">
                  <a16:creationId xmlns:a16="http://schemas.microsoft.com/office/drawing/2014/main" id="{72F966DC-8C72-4738-B2F3-7F58EF9F93C9}"/>
                </a:ext>
              </a:extLst>
            </xdr:cNvPr>
            <xdr:cNvGraphicFramePr/>
          </xdr:nvGraphicFramePr>
          <xdr:xfrm>
            <a:off x="0" y="0"/>
            <a:ext cx="0" cy="0"/>
          </xdr:xfrm>
          <a:graphic>
            <a:graphicData uri="http://schemas.microsoft.com/office/drawing/2010/slicer">
              <sle:slicer xmlns:sle="http://schemas.microsoft.com/office/drawing/2010/slicer" name="GST Rate (%) 1"/>
            </a:graphicData>
          </a:graphic>
        </xdr:graphicFrame>
      </mc:Choice>
      <mc:Fallback>
        <xdr:sp macro="" textlink="">
          <xdr:nvSpPr>
            <xdr:cNvPr id="0" name=""/>
            <xdr:cNvSpPr>
              <a:spLocks noTextEdit="1"/>
            </xdr:cNvSpPr>
          </xdr:nvSpPr>
          <xdr:spPr>
            <a:xfrm>
              <a:off x="4577024" y="6582904"/>
              <a:ext cx="1361552" cy="18113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519168</xdr:colOff>
      <xdr:row>37</xdr:row>
      <xdr:rowOff>133977</xdr:rowOff>
    </xdr:from>
    <xdr:to>
      <xdr:col>5</xdr:col>
      <xdr:colOff>117232</xdr:colOff>
      <xdr:row>47</xdr:row>
      <xdr:rowOff>92110</xdr:rowOff>
    </xdr:to>
    <mc:AlternateContent xmlns:mc="http://schemas.openxmlformats.org/markup-compatibility/2006">
      <mc:Choice xmlns:a14="http://schemas.microsoft.com/office/drawing/2010/main" Requires="a14">
        <xdr:graphicFrame macro="">
          <xdr:nvGraphicFramePr>
            <xdr:cNvPr id="59" name="Payment Status 1">
              <a:extLst>
                <a:ext uri="{FF2B5EF4-FFF2-40B4-BE49-F238E27FC236}">
                  <a16:creationId xmlns:a16="http://schemas.microsoft.com/office/drawing/2014/main" id="{A563F516-9659-4945-A089-17F8C64F0013}"/>
                </a:ext>
              </a:extLst>
            </xdr:cNvPr>
            <xdr:cNvGraphicFramePr/>
          </xdr:nvGraphicFramePr>
          <xdr:xfrm>
            <a:off x="0" y="0"/>
            <a:ext cx="0" cy="0"/>
          </xdr:xfrm>
          <a:graphic>
            <a:graphicData uri="http://schemas.microsoft.com/office/drawing/2010/slicer">
              <sle:slicer xmlns:sle="http://schemas.microsoft.com/office/drawing/2010/slicer" name="Payment Status 1"/>
            </a:graphicData>
          </a:graphic>
        </xdr:graphicFrame>
      </mc:Choice>
      <mc:Fallback>
        <xdr:sp macro="" textlink="">
          <xdr:nvSpPr>
            <xdr:cNvPr id="0" name=""/>
            <xdr:cNvSpPr>
              <a:spLocks noTextEdit="1"/>
            </xdr:cNvSpPr>
          </xdr:nvSpPr>
          <xdr:spPr>
            <a:xfrm>
              <a:off x="1738368" y="6582903"/>
              <a:ext cx="1426864" cy="180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150726</xdr:colOff>
      <xdr:row>37</xdr:row>
      <xdr:rowOff>125605</xdr:rowOff>
    </xdr:from>
    <xdr:to>
      <xdr:col>7</xdr:col>
      <xdr:colOff>259583</xdr:colOff>
      <xdr:row>47</xdr:row>
      <xdr:rowOff>75363</xdr:rowOff>
    </xdr:to>
    <mc:AlternateContent xmlns:mc="http://schemas.openxmlformats.org/markup-compatibility/2006">
      <mc:Choice xmlns:a14="http://schemas.microsoft.com/office/drawing/2010/main" Requires="a14">
        <xdr:graphicFrame macro="">
          <xdr:nvGraphicFramePr>
            <xdr:cNvPr id="60" name="State 1">
              <a:extLst>
                <a:ext uri="{FF2B5EF4-FFF2-40B4-BE49-F238E27FC236}">
                  <a16:creationId xmlns:a16="http://schemas.microsoft.com/office/drawing/2014/main" id="{ADACD450-7DE2-41C1-AEB2-305AF859374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3198726" y="6574531"/>
              <a:ext cx="1328057" cy="179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ana N" refreshedDate="46239.484215277778" createdVersion="8" refreshedVersion="8" minRefreshableVersion="3" recordCount="50" xr:uid="{DB5E1F36-FB5D-4F01-9C28-2B870EB602BC}">
  <cacheSource type="worksheet">
    <worksheetSource name="Table1"/>
  </cacheSource>
  <cacheFields count="15">
    <cacheField name="Invoice No" numFmtId="0">
      <sharedItems count="50">
        <s v="INV1001"/>
        <s v="INV1002"/>
        <s v="INV1003"/>
        <s v="INV1004"/>
        <s v="INV1005"/>
        <s v="INV1006"/>
        <s v="INV1007"/>
        <s v="INV1008"/>
        <s v="INV1009"/>
        <s v="INV1010"/>
        <s v="INV1011"/>
        <s v="INV1012"/>
        <s v="INV1013"/>
        <s v="INV1014"/>
        <s v="INV1015"/>
        <s v="INV1016"/>
        <s v="INV1017"/>
        <s v="INV1018"/>
        <s v="INV1019"/>
        <s v="INV1020"/>
        <s v="INV1021"/>
        <s v="INV1022"/>
        <s v="INV1023"/>
        <s v="INV1024"/>
        <s v="INV1025"/>
        <s v="INV1026"/>
        <s v="INV1027"/>
        <s v="INV1028"/>
        <s v="INV1029"/>
        <s v="INV1030"/>
        <s v="INV1031"/>
        <s v="INV1032"/>
        <s v="INV1033"/>
        <s v="INV1034"/>
        <s v="INV1035"/>
        <s v="INV1036"/>
        <s v="INV1037"/>
        <s v="INV1038"/>
        <s v="INV1039"/>
        <s v="INV1040"/>
        <s v="INV1041"/>
        <s v="INV1042"/>
        <s v="INV1043"/>
        <s v="INV1044"/>
        <s v="INV1045"/>
        <s v="INV1046"/>
        <s v="INV1047"/>
        <s v="INV1048"/>
        <s v="INV1049"/>
        <s v="INV1050"/>
      </sharedItems>
    </cacheField>
    <cacheField name="Invoice Date" numFmtId="165">
      <sharedItems containsSemiMixedTypes="0" containsNonDate="0" containsDate="1" containsString="0" minDate="2025-04-04T00:00:00" maxDate="2025-07-31T00:00:00" count="39">
        <d v="2025-05-04T00:00:00"/>
        <d v="2025-05-17T00:00:00"/>
        <d v="2025-07-25T00:00:00"/>
        <d v="2025-06-05T00:00:00"/>
        <d v="2025-04-08T00:00:00"/>
        <d v="2025-05-21T00:00:00"/>
        <d v="2025-04-04T00:00:00"/>
        <d v="2025-04-11T00:00:00"/>
        <d v="2025-04-13T00:00:00"/>
        <d v="2025-06-29T00:00:00"/>
        <d v="2025-05-23T00:00:00"/>
        <d v="2025-04-15T00:00:00"/>
        <d v="2025-05-18T00:00:00"/>
        <d v="2025-06-03T00:00:00"/>
        <d v="2025-07-26T00:00:00"/>
        <d v="2025-05-14T00:00:00"/>
        <d v="2025-04-16T00:00:00"/>
        <d v="2025-04-26T00:00:00"/>
        <d v="2025-07-18T00:00:00"/>
        <d v="2025-04-28T00:00:00"/>
        <d v="2025-04-23T00:00:00"/>
        <d v="2025-07-20T00:00:00"/>
        <d v="2025-05-28T00:00:00"/>
        <d v="2025-07-17T00:00:00"/>
        <d v="2025-04-29T00:00:00"/>
        <d v="2025-07-09T00:00:00"/>
        <d v="2025-06-16T00:00:00"/>
        <d v="2025-06-12T00:00:00"/>
        <d v="2025-07-12T00:00:00"/>
        <d v="2025-05-11T00:00:00"/>
        <d v="2025-07-10T00:00:00"/>
        <d v="2025-04-21T00:00:00"/>
        <d v="2025-07-30T00:00:00"/>
        <d v="2025-06-08T00:00:00"/>
        <d v="2025-07-24T00:00:00"/>
        <d v="2025-05-15T00:00:00"/>
        <d v="2025-06-20T00:00:00"/>
        <d v="2025-06-17T00:00:00"/>
        <d v="2025-06-13T00:00:00"/>
      </sharedItems>
      <fieldGroup par="14"/>
    </cacheField>
    <cacheField name="Customer" numFmtId="0">
      <sharedItems/>
    </cacheField>
    <cacheField name="State" numFmtId="0">
      <sharedItems count="3">
        <s v="Kerala"/>
        <s v="Tamil Nadu"/>
        <s v="Karnataka"/>
      </sharedItems>
    </cacheField>
    <cacheField name="GST Type" numFmtId="0">
      <sharedItems/>
    </cacheField>
    <cacheField name="Product" numFmtId="0">
      <sharedItems count="8">
        <s v="Office Chair"/>
        <s v="Monitor"/>
        <s v="Keyboard"/>
        <s v="Printer"/>
        <s v="Mouse"/>
        <s v="Router"/>
        <s v="Desk"/>
        <s v="Laptop"/>
      </sharedItems>
    </cacheField>
    <cacheField name="Taxable Value" numFmtId="0">
      <sharedItems containsSemiMixedTypes="0" containsString="0" containsNumber="1" containsInteger="1" minValue="5370" maxValue="48655" count="50">
        <n v="22829"/>
        <n v="42637"/>
        <n v="24512"/>
        <n v="29620"/>
        <n v="23603"/>
        <n v="39943"/>
        <n v="26739"/>
        <n v="36460"/>
        <n v="46145"/>
        <n v="22696"/>
        <n v="38663"/>
        <n v="42474"/>
        <n v="31225"/>
        <n v="29725"/>
        <n v="34714"/>
        <n v="22783"/>
        <n v="42386"/>
        <n v="23533"/>
        <n v="10698"/>
        <n v="9088"/>
        <n v="30460"/>
        <n v="29958"/>
        <n v="10009"/>
        <n v="22366"/>
        <n v="5370"/>
        <n v="32971"/>
        <n v="31191"/>
        <n v="16284"/>
        <n v="30998"/>
        <n v="33616"/>
        <n v="24424"/>
        <n v="13304"/>
        <n v="30375"/>
        <n v="38726"/>
        <n v="14419"/>
        <n v="48655"/>
        <n v="44110"/>
        <n v="27365"/>
        <n v="34198"/>
        <n v="5443"/>
        <n v="48520"/>
        <n v="18043"/>
        <n v="13512"/>
        <n v="47251"/>
        <n v="23687"/>
        <n v="32203"/>
        <n v="11104"/>
        <n v="27360"/>
        <n v="26327"/>
        <n v="37867"/>
      </sharedItems>
    </cacheField>
    <cacheField name="GST Rate (%)" numFmtId="0">
      <sharedItems containsSemiMixedTypes="0" containsString="0" containsNumber="1" containsInteger="1" minValue="5" maxValue="18" count="3">
        <n v="12"/>
        <n v="5"/>
        <n v="18"/>
      </sharedItems>
    </cacheField>
    <cacheField name="CGST" numFmtId="0">
      <sharedItems containsSemiMixedTypes="0" containsString="0" containsNumber="1" minValue="0" maxValue="3479.67"/>
    </cacheField>
    <cacheField name="SGST" numFmtId="0">
      <sharedItems containsSemiMixedTypes="0" containsString="0" containsNumber="1" minValue="0" maxValue="3479.67"/>
    </cacheField>
    <cacheField name="IGST" numFmtId="0">
      <sharedItems containsSemiMixedTypes="0" containsString="0" containsNumber="1" minValue="0" maxValue="7629.48"/>
    </cacheField>
    <cacheField name="Invoice Total" numFmtId="0">
      <sharedItems containsSemiMixedTypes="0" containsString="0" containsNumber="1" minValue="6336.6" maxValue="51087.759999999987"/>
    </cacheField>
    <cacheField name="Payment Status" numFmtId="0">
      <sharedItems count="2">
        <s v="Paid"/>
        <s v="Pending"/>
      </sharedItems>
    </cacheField>
    <cacheField name="Days (Invoice Date)" numFmtId="0" databaseField="0">
      <fieldGroup base="1">
        <rangePr groupBy="days" startDate="2025-04-04T00:00:00" endDate="2025-07-31T00:00:00"/>
        <groupItems count="368">
          <s v="&lt;4/4/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31/2025"/>
        </groupItems>
      </fieldGroup>
    </cacheField>
    <cacheField name="Months (Invoice Date)" numFmtId="0" databaseField="0">
      <fieldGroup base="1">
        <rangePr groupBy="months" startDate="2025-04-04T00:00:00" endDate="2025-07-31T00:00:00"/>
        <groupItems count="14">
          <s v="&lt;4/4/2025"/>
          <s v="Jan"/>
          <s v="Feb"/>
          <s v="Mar"/>
          <s v="Apr"/>
          <s v="May"/>
          <s v="Jun"/>
          <s v="Jul"/>
          <s v="Aug"/>
          <s v="Sep"/>
          <s v="Oct"/>
          <s v="Nov"/>
          <s v="Dec"/>
          <s v="&gt;7/31/2025"/>
        </groupItems>
      </fieldGroup>
    </cacheField>
  </cacheFields>
  <extLst>
    <ext xmlns:x14="http://schemas.microsoft.com/office/spreadsheetml/2009/9/main" uri="{725AE2AE-9491-48be-B2B4-4EB974FC3084}">
      <x14:pivotCacheDefinition pivotCacheId="5397531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XYZ Retail"/>
    <x v="0"/>
    <s v="IGST"/>
    <x v="0"/>
    <x v="0"/>
    <x v="0"/>
    <n v="0"/>
    <n v="0"/>
    <n v="2739.48"/>
    <n v="25568.48"/>
    <x v="0"/>
  </r>
  <r>
    <x v="1"/>
    <x v="1"/>
    <s v="Elite Distributors"/>
    <x v="0"/>
    <s v="IGST"/>
    <x v="0"/>
    <x v="1"/>
    <x v="1"/>
    <n v="0"/>
    <n v="0"/>
    <n v="2131.85"/>
    <n v="44768.85"/>
    <x v="1"/>
  </r>
  <r>
    <x v="2"/>
    <x v="2"/>
    <s v="ABC Traders"/>
    <x v="1"/>
    <s v="CGST/SGST"/>
    <x v="1"/>
    <x v="2"/>
    <x v="1"/>
    <n v="612.79999999999995"/>
    <n v="612.79999999999995"/>
    <n v="0"/>
    <n v="25737.599999999999"/>
    <x v="0"/>
  </r>
  <r>
    <x v="3"/>
    <x v="3"/>
    <s v="ABC Traders"/>
    <x v="0"/>
    <s v="IGST"/>
    <x v="2"/>
    <x v="3"/>
    <x v="1"/>
    <n v="0"/>
    <n v="0"/>
    <n v="1481"/>
    <n v="31101"/>
    <x v="0"/>
  </r>
  <r>
    <x v="4"/>
    <x v="4"/>
    <s v="City Wholesale"/>
    <x v="2"/>
    <s v="IGST"/>
    <x v="3"/>
    <x v="4"/>
    <x v="1"/>
    <n v="0"/>
    <n v="0"/>
    <n v="1180.1500000000001"/>
    <n v="24783.15"/>
    <x v="0"/>
  </r>
  <r>
    <x v="5"/>
    <x v="1"/>
    <s v="XYZ Retail"/>
    <x v="0"/>
    <s v="IGST"/>
    <x v="0"/>
    <x v="5"/>
    <x v="0"/>
    <n v="0"/>
    <n v="0"/>
    <n v="4793.16"/>
    <n v="44736.160000000003"/>
    <x v="1"/>
  </r>
  <r>
    <x v="6"/>
    <x v="5"/>
    <s v="Elite Distributors"/>
    <x v="0"/>
    <s v="IGST"/>
    <x v="0"/>
    <x v="6"/>
    <x v="2"/>
    <n v="0"/>
    <n v="0"/>
    <n v="4813.0200000000004"/>
    <n v="31552.02"/>
    <x v="0"/>
  </r>
  <r>
    <x v="7"/>
    <x v="6"/>
    <s v="XYZ Retail"/>
    <x v="1"/>
    <s v="CGST/SGST"/>
    <x v="1"/>
    <x v="7"/>
    <x v="0"/>
    <n v="2187.6"/>
    <n v="2187.6"/>
    <n v="0"/>
    <n v="40835.199999999997"/>
    <x v="0"/>
  </r>
  <r>
    <x v="8"/>
    <x v="7"/>
    <s v="City Wholesale"/>
    <x v="0"/>
    <s v="IGST"/>
    <x v="4"/>
    <x v="8"/>
    <x v="1"/>
    <n v="0"/>
    <n v="0"/>
    <n v="2307.25"/>
    <n v="48452.25"/>
    <x v="0"/>
  </r>
  <r>
    <x v="9"/>
    <x v="8"/>
    <s v="Prime Stores"/>
    <x v="0"/>
    <s v="IGST"/>
    <x v="3"/>
    <x v="9"/>
    <x v="2"/>
    <n v="0"/>
    <n v="0"/>
    <n v="4085.28"/>
    <n v="26781.279999999999"/>
    <x v="1"/>
  </r>
  <r>
    <x v="10"/>
    <x v="9"/>
    <s v="Sun Enterprises"/>
    <x v="1"/>
    <s v="CGST/SGST"/>
    <x v="1"/>
    <x v="10"/>
    <x v="2"/>
    <n v="3479.67"/>
    <n v="3479.67"/>
    <n v="0"/>
    <n v="45622.34"/>
    <x v="0"/>
  </r>
  <r>
    <x v="11"/>
    <x v="10"/>
    <s v="Green Mart"/>
    <x v="0"/>
    <s v="IGST"/>
    <x v="4"/>
    <x v="11"/>
    <x v="1"/>
    <n v="0"/>
    <n v="0"/>
    <n v="2123.6999999999998"/>
    <n v="44597.7"/>
    <x v="1"/>
  </r>
  <r>
    <x v="12"/>
    <x v="0"/>
    <s v="Elite Distributors"/>
    <x v="2"/>
    <s v="IGST"/>
    <x v="5"/>
    <x v="12"/>
    <x v="0"/>
    <n v="0"/>
    <n v="0"/>
    <n v="3747"/>
    <n v="34972"/>
    <x v="0"/>
  </r>
  <r>
    <x v="13"/>
    <x v="11"/>
    <s v="ABC Traders"/>
    <x v="0"/>
    <s v="IGST"/>
    <x v="2"/>
    <x v="13"/>
    <x v="0"/>
    <n v="0"/>
    <n v="0"/>
    <n v="3567"/>
    <n v="33292"/>
    <x v="0"/>
  </r>
  <r>
    <x v="14"/>
    <x v="7"/>
    <s v="Elite Distributors"/>
    <x v="0"/>
    <s v="IGST"/>
    <x v="4"/>
    <x v="14"/>
    <x v="0"/>
    <n v="0"/>
    <n v="0"/>
    <n v="4165.68"/>
    <n v="38879.68"/>
    <x v="0"/>
  </r>
  <r>
    <x v="15"/>
    <x v="12"/>
    <s v="Sun Enterprises"/>
    <x v="1"/>
    <s v="CGST/SGST"/>
    <x v="6"/>
    <x v="15"/>
    <x v="1"/>
    <n v="569.58000000000004"/>
    <n v="569.58000000000004"/>
    <n v="0"/>
    <n v="23922.16"/>
    <x v="1"/>
  </r>
  <r>
    <x v="16"/>
    <x v="12"/>
    <s v="Elite Distributors"/>
    <x v="2"/>
    <s v="IGST"/>
    <x v="2"/>
    <x v="16"/>
    <x v="2"/>
    <n v="0"/>
    <n v="0"/>
    <n v="7629.48"/>
    <n v="50015.48"/>
    <x v="0"/>
  </r>
  <r>
    <x v="17"/>
    <x v="13"/>
    <s v="Nova Tech"/>
    <x v="2"/>
    <s v="IGST"/>
    <x v="7"/>
    <x v="17"/>
    <x v="1"/>
    <n v="0"/>
    <n v="0"/>
    <n v="1176.6500000000001"/>
    <n v="24709.65"/>
    <x v="0"/>
  </r>
  <r>
    <x v="18"/>
    <x v="14"/>
    <s v="Elite Distributors"/>
    <x v="2"/>
    <s v="IGST"/>
    <x v="3"/>
    <x v="18"/>
    <x v="1"/>
    <n v="0"/>
    <n v="0"/>
    <n v="534.9"/>
    <n v="11232.9"/>
    <x v="1"/>
  </r>
  <r>
    <x v="19"/>
    <x v="15"/>
    <s v="City Wholesale"/>
    <x v="1"/>
    <s v="CGST/SGST"/>
    <x v="2"/>
    <x v="19"/>
    <x v="0"/>
    <n v="545.28"/>
    <n v="545.28"/>
    <n v="0"/>
    <n v="10178.56"/>
    <x v="1"/>
  </r>
  <r>
    <x v="20"/>
    <x v="16"/>
    <s v="Green Mart"/>
    <x v="0"/>
    <s v="IGST"/>
    <x v="2"/>
    <x v="20"/>
    <x v="0"/>
    <n v="0"/>
    <n v="0"/>
    <n v="3655.2"/>
    <n v="34115.199999999997"/>
    <x v="0"/>
  </r>
  <r>
    <x v="21"/>
    <x v="17"/>
    <s v="Prime Stores"/>
    <x v="2"/>
    <s v="IGST"/>
    <x v="2"/>
    <x v="21"/>
    <x v="2"/>
    <n v="0"/>
    <n v="0"/>
    <n v="5392.44"/>
    <n v="35350.44"/>
    <x v="0"/>
  </r>
  <r>
    <x v="22"/>
    <x v="18"/>
    <s v="Sun Enterprises"/>
    <x v="2"/>
    <s v="IGST"/>
    <x v="2"/>
    <x v="22"/>
    <x v="2"/>
    <n v="0"/>
    <n v="0"/>
    <n v="1801.62"/>
    <n v="11810.62"/>
    <x v="1"/>
  </r>
  <r>
    <x v="23"/>
    <x v="19"/>
    <s v="Elite Distributors"/>
    <x v="2"/>
    <s v="IGST"/>
    <x v="2"/>
    <x v="23"/>
    <x v="2"/>
    <n v="0"/>
    <n v="0"/>
    <n v="4025.88"/>
    <n v="26391.88"/>
    <x v="1"/>
  </r>
  <r>
    <x v="24"/>
    <x v="20"/>
    <s v="Green Mart"/>
    <x v="2"/>
    <s v="IGST"/>
    <x v="5"/>
    <x v="24"/>
    <x v="2"/>
    <n v="0"/>
    <n v="0"/>
    <n v="966.6"/>
    <n v="6336.6"/>
    <x v="0"/>
  </r>
  <r>
    <x v="25"/>
    <x v="21"/>
    <s v="Sun Enterprises"/>
    <x v="0"/>
    <s v="IGST"/>
    <x v="2"/>
    <x v="25"/>
    <x v="2"/>
    <n v="0"/>
    <n v="0"/>
    <n v="5934.78"/>
    <n v="38905.78"/>
    <x v="1"/>
  </r>
  <r>
    <x v="26"/>
    <x v="22"/>
    <s v="Sun Enterprises"/>
    <x v="0"/>
    <s v="IGST"/>
    <x v="5"/>
    <x v="26"/>
    <x v="1"/>
    <n v="0"/>
    <n v="0"/>
    <n v="1559.55"/>
    <n v="32750.55"/>
    <x v="1"/>
  </r>
  <r>
    <x v="27"/>
    <x v="23"/>
    <s v="Prime Stores"/>
    <x v="2"/>
    <s v="IGST"/>
    <x v="0"/>
    <x v="27"/>
    <x v="2"/>
    <n v="0"/>
    <n v="0"/>
    <n v="2931.12"/>
    <n v="19215.12"/>
    <x v="0"/>
  </r>
  <r>
    <x v="28"/>
    <x v="24"/>
    <s v="Prime Stores"/>
    <x v="1"/>
    <s v="CGST/SGST"/>
    <x v="0"/>
    <x v="28"/>
    <x v="0"/>
    <n v="1859.88"/>
    <n v="1859.88"/>
    <n v="0"/>
    <n v="34717.759999999987"/>
    <x v="1"/>
  </r>
  <r>
    <x v="29"/>
    <x v="25"/>
    <s v="Green Mart"/>
    <x v="2"/>
    <s v="IGST"/>
    <x v="3"/>
    <x v="29"/>
    <x v="2"/>
    <n v="0"/>
    <n v="0"/>
    <n v="6050.88"/>
    <n v="39666.879999999997"/>
    <x v="0"/>
  </r>
  <r>
    <x v="30"/>
    <x v="26"/>
    <s v="City Wholesale"/>
    <x v="0"/>
    <s v="IGST"/>
    <x v="2"/>
    <x v="30"/>
    <x v="0"/>
    <n v="0"/>
    <n v="0"/>
    <n v="2930.88"/>
    <n v="27354.880000000001"/>
    <x v="1"/>
  </r>
  <r>
    <x v="31"/>
    <x v="18"/>
    <s v="Prime Stores"/>
    <x v="2"/>
    <s v="IGST"/>
    <x v="2"/>
    <x v="31"/>
    <x v="2"/>
    <n v="0"/>
    <n v="0"/>
    <n v="2394.7199999999998"/>
    <n v="15698.72"/>
    <x v="0"/>
  </r>
  <r>
    <x v="32"/>
    <x v="27"/>
    <s v="ABC Traders"/>
    <x v="2"/>
    <s v="IGST"/>
    <x v="6"/>
    <x v="32"/>
    <x v="0"/>
    <n v="0"/>
    <n v="0"/>
    <n v="3645"/>
    <n v="34020"/>
    <x v="0"/>
  </r>
  <r>
    <x v="33"/>
    <x v="28"/>
    <s v="Sun Enterprises"/>
    <x v="2"/>
    <s v="IGST"/>
    <x v="0"/>
    <x v="33"/>
    <x v="2"/>
    <n v="0"/>
    <n v="0"/>
    <n v="6970.68"/>
    <n v="45696.68"/>
    <x v="0"/>
  </r>
  <r>
    <x v="34"/>
    <x v="29"/>
    <s v="Prime Stores"/>
    <x v="0"/>
    <s v="IGST"/>
    <x v="6"/>
    <x v="34"/>
    <x v="0"/>
    <n v="0"/>
    <n v="0"/>
    <n v="1730.28"/>
    <n v="16149.28"/>
    <x v="0"/>
  </r>
  <r>
    <x v="35"/>
    <x v="27"/>
    <s v="Green Mart"/>
    <x v="1"/>
    <s v="CGST/SGST"/>
    <x v="1"/>
    <x v="35"/>
    <x v="1"/>
    <n v="1216.3800000000001"/>
    <n v="1216.3800000000001"/>
    <n v="0"/>
    <n v="51087.759999999987"/>
    <x v="0"/>
  </r>
  <r>
    <x v="36"/>
    <x v="30"/>
    <s v="Green Mart"/>
    <x v="1"/>
    <s v="CGST/SGST"/>
    <x v="7"/>
    <x v="36"/>
    <x v="1"/>
    <n v="1102.75"/>
    <n v="1102.75"/>
    <n v="0"/>
    <n v="46315.5"/>
    <x v="1"/>
  </r>
  <r>
    <x v="37"/>
    <x v="31"/>
    <s v="City Wholesale"/>
    <x v="0"/>
    <s v="IGST"/>
    <x v="2"/>
    <x v="37"/>
    <x v="0"/>
    <n v="0"/>
    <n v="0"/>
    <n v="3283.8"/>
    <n v="30648.799999999999"/>
    <x v="0"/>
  </r>
  <r>
    <x v="38"/>
    <x v="32"/>
    <s v="City Wholesale"/>
    <x v="1"/>
    <s v="CGST/SGST"/>
    <x v="7"/>
    <x v="38"/>
    <x v="2"/>
    <n v="3077.82"/>
    <n v="3077.82"/>
    <n v="0"/>
    <n v="40353.64"/>
    <x v="0"/>
  </r>
  <r>
    <x v="39"/>
    <x v="7"/>
    <s v="Sun Enterprises"/>
    <x v="0"/>
    <s v="IGST"/>
    <x v="7"/>
    <x v="39"/>
    <x v="2"/>
    <n v="0"/>
    <n v="0"/>
    <n v="979.74"/>
    <n v="6422.74"/>
    <x v="0"/>
  </r>
  <r>
    <x v="40"/>
    <x v="33"/>
    <s v="Prime Stores"/>
    <x v="1"/>
    <s v="CGST/SGST"/>
    <x v="5"/>
    <x v="40"/>
    <x v="1"/>
    <n v="1213"/>
    <n v="1213"/>
    <n v="0"/>
    <n v="50946"/>
    <x v="1"/>
  </r>
  <r>
    <x v="41"/>
    <x v="34"/>
    <s v="Elite Distributors"/>
    <x v="2"/>
    <s v="IGST"/>
    <x v="6"/>
    <x v="41"/>
    <x v="2"/>
    <n v="0"/>
    <n v="0"/>
    <n v="3247.74"/>
    <n v="21290.74"/>
    <x v="0"/>
  </r>
  <r>
    <x v="42"/>
    <x v="4"/>
    <s v="Nova Tech"/>
    <x v="1"/>
    <s v="CGST/SGST"/>
    <x v="3"/>
    <x v="42"/>
    <x v="0"/>
    <n v="810.72"/>
    <n v="810.72"/>
    <n v="0"/>
    <n v="15133.44"/>
    <x v="0"/>
  </r>
  <r>
    <x v="43"/>
    <x v="35"/>
    <s v="Sun Enterprises"/>
    <x v="2"/>
    <s v="IGST"/>
    <x v="6"/>
    <x v="43"/>
    <x v="1"/>
    <n v="0"/>
    <n v="0"/>
    <n v="2362.5500000000002"/>
    <n v="49613.55"/>
    <x v="0"/>
  </r>
  <r>
    <x v="44"/>
    <x v="34"/>
    <s v="XYZ Retail"/>
    <x v="2"/>
    <s v="IGST"/>
    <x v="0"/>
    <x v="44"/>
    <x v="2"/>
    <n v="0"/>
    <n v="0"/>
    <n v="4263.66"/>
    <n v="27950.66"/>
    <x v="1"/>
  </r>
  <r>
    <x v="45"/>
    <x v="21"/>
    <s v="Elite Distributors"/>
    <x v="1"/>
    <s v="CGST/SGST"/>
    <x v="7"/>
    <x v="45"/>
    <x v="0"/>
    <n v="1932.18"/>
    <n v="1932.18"/>
    <n v="0"/>
    <n v="36067.360000000001"/>
    <x v="1"/>
  </r>
  <r>
    <x v="46"/>
    <x v="36"/>
    <s v="ABC Traders"/>
    <x v="0"/>
    <s v="IGST"/>
    <x v="5"/>
    <x v="46"/>
    <x v="2"/>
    <n v="0"/>
    <n v="0"/>
    <n v="1998.72"/>
    <n v="13102.72"/>
    <x v="0"/>
  </r>
  <r>
    <x v="47"/>
    <x v="27"/>
    <s v="Sun Enterprises"/>
    <x v="0"/>
    <s v="IGST"/>
    <x v="6"/>
    <x v="47"/>
    <x v="1"/>
    <n v="0"/>
    <n v="0"/>
    <n v="1368"/>
    <n v="28728"/>
    <x v="1"/>
  </r>
  <r>
    <x v="48"/>
    <x v="37"/>
    <s v="City Wholesale"/>
    <x v="0"/>
    <s v="IGST"/>
    <x v="7"/>
    <x v="48"/>
    <x v="2"/>
    <n v="0"/>
    <n v="0"/>
    <n v="4738.8599999999997"/>
    <n v="31065.86"/>
    <x v="0"/>
  </r>
  <r>
    <x v="49"/>
    <x v="38"/>
    <s v="ABC Traders"/>
    <x v="2"/>
    <s v="IGST"/>
    <x v="7"/>
    <x v="49"/>
    <x v="2"/>
    <n v="0"/>
    <n v="0"/>
    <n v="6816.06"/>
    <n v="44683.0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C12DEE-571C-4A6A-ACB8-2F0C669AF44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ST %">
  <location ref="F2:G6" firstHeaderRow="1" firstDataRow="1" firstDataCol="1"/>
  <pivotFields count="15">
    <pivotField showAll="0"/>
    <pivotField numFmtId="165" showAll="0">
      <items count="40">
        <item x="6"/>
        <item x="4"/>
        <item x="7"/>
        <item x="8"/>
        <item x="11"/>
        <item x="16"/>
        <item x="31"/>
        <item x="20"/>
        <item x="17"/>
        <item x="19"/>
        <item x="24"/>
        <item x="0"/>
        <item x="29"/>
        <item x="15"/>
        <item x="35"/>
        <item x="1"/>
        <item x="12"/>
        <item x="5"/>
        <item x="10"/>
        <item x="22"/>
        <item x="13"/>
        <item x="3"/>
        <item x="33"/>
        <item x="27"/>
        <item x="38"/>
        <item x="26"/>
        <item x="37"/>
        <item x="36"/>
        <item x="9"/>
        <item x="25"/>
        <item x="30"/>
        <item x="28"/>
        <item x="23"/>
        <item x="18"/>
        <item x="21"/>
        <item x="34"/>
        <item x="2"/>
        <item x="14"/>
        <item x="32"/>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 dataField="1" showAll="0"/>
    <pivotField showAll="0">
      <items count="3">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4">
    <i>
      <x/>
    </i>
    <i>
      <x v="1"/>
    </i>
    <i>
      <x v="2"/>
    </i>
    <i t="grand">
      <x/>
    </i>
  </rowItems>
  <colItems count="1">
    <i/>
  </colItems>
  <dataFields count="1">
    <dataField name="Sum of Invoice Total"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3005AA-3FE2-4E86-8758-ED99624E0322}"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Month">
  <location ref="A3:B8" firstHeaderRow="1" firstDataRow="1" firstDataCol="1"/>
  <pivotFields count="15">
    <pivotField showAll="0"/>
    <pivotField axis="axisRow" numFmtId="165" showAll="0">
      <items count="40">
        <item x="6"/>
        <item x="4"/>
        <item x="7"/>
        <item x="8"/>
        <item x="11"/>
        <item x="16"/>
        <item x="31"/>
        <item x="20"/>
        <item x="17"/>
        <item x="19"/>
        <item x="24"/>
        <item x="0"/>
        <item x="29"/>
        <item x="15"/>
        <item x="35"/>
        <item x="1"/>
        <item x="12"/>
        <item x="5"/>
        <item x="10"/>
        <item x="22"/>
        <item x="13"/>
        <item x="3"/>
        <item x="33"/>
        <item x="27"/>
        <item x="38"/>
        <item x="26"/>
        <item x="37"/>
        <item x="36"/>
        <item x="9"/>
        <item x="25"/>
        <item x="30"/>
        <item x="28"/>
        <item x="23"/>
        <item x="18"/>
        <item x="21"/>
        <item x="34"/>
        <item x="2"/>
        <item x="14"/>
        <item x="32"/>
        <item t="default"/>
      </items>
    </pivotField>
    <pivotField showAll="0"/>
    <pivotField showAll="0">
      <items count="4">
        <item x="2"/>
        <item x="0"/>
        <item x="1"/>
        <item t="default"/>
      </items>
    </pivotField>
    <pivotField showAll="0"/>
    <pivotField showAll="0">
      <items count="9">
        <item x="6"/>
        <item x="2"/>
        <item x="7"/>
        <item x="1"/>
        <item x="4"/>
        <item x="0"/>
        <item x="3"/>
        <item x="5"/>
        <item t="default"/>
      </items>
    </pivotField>
    <pivotField dataField="1" showAll="0">
      <items count="51">
        <item x="24"/>
        <item x="39"/>
        <item x="19"/>
        <item x="22"/>
        <item x="18"/>
        <item x="46"/>
        <item x="31"/>
        <item x="42"/>
        <item x="34"/>
        <item x="27"/>
        <item x="41"/>
        <item x="23"/>
        <item x="9"/>
        <item x="15"/>
        <item x="0"/>
        <item x="17"/>
        <item x="4"/>
        <item x="44"/>
        <item x="30"/>
        <item x="2"/>
        <item x="48"/>
        <item x="6"/>
        <item x="47"/>
        <item x="37"/>
        <item x="3"/>
        <item x="13"/>
        <item x="21"/>
        <item x="32"/>
        <item x="20"/>
        <item x="28"/>
        <item x="26"/>
        <item x="12"/>
        <item x="45"/>
        <item x="25"/>
        <item x="29"/>
        <item x="38"/>
        <item x="14"/>
        <item x="7"/>
        <item x="49"/>
        <item x="10"/>
        <item x="33"/>
        <item x="5"/>
        <item x="16"/>
        <item x="11"/>
        <item x="1"/>
        <item x="36"/>
        <item x="8"/>
        <item x="43"/>
        <item x="40"/>
        <item x="35"/>
        <item t="default"/>
      </items>
    </pivotField>
    <pivotField showAll="0">
      <items count="4">
        <item x="1"/>
        <item x="0"/>
        <item x="2"/>
        <item t="default"/>
      </items>
    </pivotField>
    <pivotField showAll="0"/>
    <pivotField showAll="0"/>
    <pivotField showAll="0"/>
    <pivotField showAll="0"/>
    <pivotField showAll="0">
      <items count="3">
        <item x="0"/>
        <item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5">
    <i>
      <x v="4"/>
    </i>
    <i>
      <x v="5"/>
    </i>
    <i>
      <x v="6"/>
    </i>
    <i>
      <x v="7"/>
    </i>
    <i t="grand">
      <x/>
    </i>
  </rowItems>
  <colItems count="1">
    <i/>
  </colItems>
  <dataFields count="1">
    <dataField name="Sum of Taxable Value" fld="6" baseField="0" baseItem="0"/>
  </dataField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44A5E8-7C3D-4456-AEC1-B5069F00C62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
  <location ref="F19:G28" firstHeaderRow="1" firstDataRow="1" firstDataCol="1"/>
  <pivotFields count="15">
    <pivotField showAll="0"/>
    <pivotField numFmtId="165" showAll="0">
      <items count="40">
        <item x="6"/>
        <item x="4"/>
        <item x="7"/>
        <item x="8"/>
        <item x="11"/>
        <item x="16"/>
        <item x="31"/>
        <item x="20"/>
        <item x="17"/>
        <item x="19"/>
        <item x="24"/>
        <item x="0"/>
        <item x="29"/>
        <item x="15"/>
        <item x="35"/>
        <item x="1"/>
        <item x="12"/>
        <item x="5"/>
        <item x="10"/>
        <item x="22"/>
        <item x="13"/>
        <item x="3"/>
        <item x="33"/>
        <item x="27"/>
        <item x="38"/>
        <item x="26"/>
        <item x="37"/>
        <item x="36"/>
        <item x="9"/>
        <item x="25"/>
        <item x="30"/>
        <item x="28"/>
        <item x="23"/>
        <item x="18"/>
        <item x="21"/>
        <item x="34"/>
        <item x="2"/>
        <item x="14"/>
        <item x="32"/>
        <item t="default"/>
      </items>
    </pivotField>
    <pivotField showAll="0"/>
    <pivotField showAll="0"/>
    <pivotField showAll="0"/>
    <pivotField axis="axisRow" showAll="0">
      <items count="9">
        <item x="6"/>
        <item x="2"/>
        <item x="7"/>
        <item x="1"/>
        <item x="4"/>
        <item x="0"/>
        <item x="3"/>
        <item x="5"/>
        <item t="default"/>
      </items>
    </pivotField>
    <pivotField showAll="0"/>
    <pivotField showAll="0"/>
    <pivotField showAll="0"/>
    <pivotField showAll="0"/>
    <pivotField showAll="0"/>
    <pivotField dataField="1" showAll="0"/>
    <pivotField showAll="0">
      <items count="3">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9">
    <i>
      <x/>
    </i>
    <i>
      <x v="1"/>
    </i>
    <i>
      <x v="2"/>
    </i>
    <i>
      <x v="3"/>
    </i>
    <i>
      <x v="4"/>
    </i>
    <i>
      <x v="5"/>
    </i>
    <i>
      <x v="6"/>
    </i>
    <i>
      <x v="7"/>
    </i>
    <i t="grand">
      <x/>
    </i>
  </rowItems>
  <colItems count="1">
    <i/>
  </colItems>
  <dataFields count="1">
    <dataField name="Sum of Invoice Total"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B2B659-E3E7-44B8-A254-A4ED46E8C7D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ayment Status">
  <location ref="A19:B22" firstHeaderRow="1" firstDataRow="1" firstDataCol="1"/>
  <pivotFields count="15">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65" showAll="0">
      <items count="40">
        <item x="6"/>
        <item x="4"/>
        <item x="7"/>
        <item x="8"/>
        <item x="11"/>
        <item x="16"/>
        <item x="31"/>
        <item x="20"/>
        <item x="17"/>
        <item x="19"/>
        <item x="24"/>
        <item x="0"/>
        <item x="29"/>
        <item x="15"/>
        <item x="35"/>
        <item x="1"/>
        <item x="12"/>
        <item x="5"/>
        <item x="10"/>
        <item x="22"/>
        <item x="13"/>
        <item x="3"/>
        <item x="33"/>
        <item x="27"/>
        <item x="38"/>
        <item x="26"/>
        <item x="37"/>
        <item x="36"/>
        <item x="9"/>
        <item x="25"/>
        <item x="30"/>
        <item x="28"/>
        <item x="23"/>
        <item x="18"/>
        <item x="21"/>
        <item x="34"/>
        <item x="2"/>
        <item x="14"/>
        <item x="32"/>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3">
    <i>
      <x/>
    </i>
    <i>
      <x v="1"/>
    </i>
    <i t="grand">
      <x/>
    </i>
  </rowItems>
  <colItems count="1">
    <i/>
  </colItems>
  <dataFields count="1">
    <dataField name="Count of Invoice No"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2" count="1" selected="0">
            <x v="0"/>
          </reference>
        </references>
      </pivotArea>
    </chartFormat>
    <chartFormat chart="16"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745995-4D14-4CD1-B9D6-37A4534FA05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location ref="K2:L6" firstHeaderRow="1" firstDataRow="1" firstDataCol="1"/>
  <pivotFields count="15">
    <pivotField showAll="0"/>
    <pivotField numFmtId="165" showAll="0">
      <items count="40">
        <item x="6"/>
        <item x="4"/>
        <item x="7"/>
        <item x="8"/>
        <item x="11"/>
        <item x="16"/>
        <item x="31"/>
        <item x="20"/>
        <item x="17"/>
        <item x="19"/>
        <item x="24"/>
        <item x="0"/>
        <item x="29"/>
        <item x="15"/>
        <item x="35"/>
        <item x="1"/>
        <item x="12"/>
        <item x="5"/>
        <item x="10"/>
        <item x="22"/>
        <item x="13"/>
        <item x="3"/>
        <item x="33"/>
        <item x="27"/>
        <item x="38"/>
        <item x="26"/>
        <item x="37"/>
        <item x="36"/>
        <item x="9"/>
        <item x="25"/>
        <item x="30"/>
        <item x="28"/>
        <item x="23"/>
        <item x="18"/>
        <item x="21"/>
        <item x="34"/>
        <item x="2"/>
        <item x="14"/>
        <item x="32"/>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showAll="0"/>
    <pivotField dataField="1" showAll="0"/>
    <pivotField showAll="0">
      <items count="3">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Items count="1">
    <i/>
  </colItems>
  <dataFields count="1">
    <dataField name="Sum of Invoice Total"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B51B102-8F30-4755-9EC1-4EC3B9DE49B9}" sourceName="State">
  <pivotTables>
    <pivotTable tabId="6" name="PivotTable2"/>
  </pivotTables>
  <data>
    <tabular pivotCacheId="53975316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53AEC42-221D-4A3F-8F2F-EBC1DF514B83}" sourceName="Product">
  <pivotTables>
    <pivotTable tabId="6" name="PivotTable2"/>
  </pivotTables>
  <data>
    <tabular pivotCacheId="539753168">
      <items count="8">
        <i x="6" s="1"/>
        <i x="2" s="1"/>
        <i x="7" s="1"/>
        <i x="1" s="1"/>
        <i x="4" s="1"/>
        <i x="0"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ST_Rate" xr10:uid="{77F737FE-8358-4642-8AEC-4254A4F38915}" sourceName="GST Rate (%)">
  <pivotTables>
    <pivotTable tabId="6" name="PivotTable2"/>
  </pivotTables>
  <data>
    <tabular pivotCacheId="539753168">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0D65E7A0-174C-423E-8FF9-8B1E15D8C5A0}" sourceName="Payment Status">
  <pivotTables>
    <pivotTable tabId="6" name="PivotTable2"/>
    <pivotTable tabId="6" name="PivotTable3"/>
    <pivotTable tabId="6" name="PivotTable4"/>
    <pivotTable tabId="6" name="PivotTable5"/>
    <pivotTable tabId="6" name="PivotTable6"/>
  </pivotTables>
  <data>
    <tabular pivotCacheId="53975316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A1FC10C0-013F-440C-9FDA-484A91751C38}" cache="Slicer_State" caption="State" rowHeight="234950"/>
  <slicer name="Product" xr10:uid="{477EC1E8-8510-45FC-8464-0A1B1B6DA23F}" cache="Slicer_Product" caption="Product" rowHeight="234950"/>
  <slicer name="GST Rate (%)" xr10:uid="{547479F5-E866-489D-8E36-9171CAE8A775}" cache="Slicer_GST_Rate" caption="GST Rate (%)" rowHeight="234950"/>
  <slicer name="Payment Status" xr10:uid="{1665D078-ABC8-4DD0-B67D-CFF2566422D2}" cache="Slicer_Payment_Status" caption="Payment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1A72B95F-1684-419F-972F-76D430C70808}" cache="Slicer_State" caption="State" rowHeight="234950"/>
  <slicer name="Product 1" xr10:uid="{F5019333-313D-4DE5-A3AE-1A5C51D35D22}" cache="Slicer_Product" caption="Product" rowHeight="234950"/>
  <slicer name="GST Rate (%) 1" xr10:uid="{EE7088AA-C982-4ED2-A4FA-3CC5058D9DE4}" cache="Slicer_GST_Rate" caption="GST Rate (%)" rowHeight="234950"/>
  <slicer name="Payment Status 1" xr10:uid="{C35A2DCB-93D8-4042-87F2-34DEA8F80A0B}" cache="Slicer_Payment_Status" caption="Payment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6F8210-D91E-4449-B52A-EAA6218B24BF}" name="Table1" displayName="Table1" ref="A1:M51" totalsRowShown="0">
  <autoFilter ref="A1:M51" xr:uid="{6A6F8210-D91E-4449-B52A-EAA6218B24BF}"/>
  <tableColumns count="13">
    <tableColumn id="1" xr3:uid="{19136271-6A35-4F33-ADFF-5BFCE7FC502D}" name="Invoice No"/>
    <tableColumn id="2" xr3:uid="{511A5EB9-D23C-4136-9703-93E82FAAAACD}" name="Invoice Date" dataDxfId="0"/>
    <tableColumn id="3" xr3:uid="{C06B329F-E8C8-4C4B-9331-22BAD09A238E}" name="Customer"/>
    <tableColumn id="4" xr3:uid="{1A1FD01E-0936-4301-B817-996393C3DE37}" name="State"/>
    <tableColumn id="5" xr3:uid="{92EDDB15-566B-462F-A149-01DF0062AA8A}" name="GST Type"/>
    <tableColumn id="6" xr3:uid="{37A03611-3734-4A4A-BCAD-6B1431EDB2F9}" name="Product"/>
    <tableColumn id="7" xr3:uid="{DF0E9EFB-ACF1-4B7B-AED5-F38C7574E626}" name="Taxable Value"/>
    <tableColumn id="8" xr3:uid="{48E1AF5B-25B2-46C4-A656-53268A830AAE}" name="GST Rate (%)"/>
    <tableColumn id="9" xr3:uid="{809D4CEE-653B-4AA1-98F1-E46D681566A1}" name="CGST"/>
    <tableColumn id="10" xr3:uid="{679B877B-70D7-46AD-846C-37E8D2D895C4}" name="SGST"/>
    <tableColumn id="11" xr3:uid="{98C9B8AC-8903-47C9-B944-E8604311F292}" name="IGST"/>
    <tableColumn id="12" xr3:uid="{D46C8FAD-3E2B-4599-B3C2-BD6BA5EB3820}" name="Invoice Total"/>
    <tableColumn id="13" xr3:uid="{D1569088-DFFB-4BCD-B671-FD08D3EFB516}" name="Payment 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opLeftCell="A28" workbookViewId="0">
      <selection sqref="A1:M51"/>
    </sheetView>
  </sheetViews>
  <sheetFormatPr defaultRowHeight="14.4" x14ac:dyDescent="0.3"/>
  <cols>
    <col min="1" max="1" width="11.88671875" customWidth="1"/>
    <col min="2" max="2" width="13.33203125" style="3" customWidth="1"/>
    <col min="3" max="3" width="15" customWidth="1"/>
    <col min="4" max="4" width="10.77734375" customWidth="1"/>
    <col min="5" max="5" width="10.6640625" customWidth="1"/>
    <col min="6" max="6" width="9.5546875" customWidth="1"/>
    <col min="7" max="7" width="14.5546875" customWidth="1"/>
    <col min="8" max="8" width="13.5546875" customWidth="1"/>
    <col min="12" max="12" width="13.6640625" customWidth="1"/>
    <col min="13" max="13" width="16.109375" customWidth="1"/>
  </cols>
  <sheetData>
    <row r="1" spans="1:14" x14ac:dyDescent="0.3">
      <c r="A1" t="s">
        <v>0</v>
      </c>
      <c r="B1" s="3" t="s">
        <v>1</v>
      </c>
      <c r="C1" t="s">
        <v>2</v>
      </c>
      <c r="D1" t="s">
        <v>3</v>
      </c>
      <c r="E1" t="s">
        <v>4</v>
      </c>
      <c r="F1" t="s">
        <v>5</v>
      </c>
      <c r="G1" t="s">
        <v>6</v>
      </c>
      <c r="H1" t="s">
        <v>7</v>
      </c>
      <c r="I1" t="s">
        <v>8</v>
      </c>
      <c r="J1" t="s">
        <v>9</v>
      </c>
      <c r="K1" t="s">
        <v>10</v>
      </c>
      <c r="L1" t="s">
        <v>11</v>
      </c>
      <c r="M1" t="s">
        <v>12</v>
      </c>
    </row>
    <row r="2" spans="1:14" x14ac:dyDescent="0.3">
      <c r="A2" t="s">
        <v>13</v>
      </c>
      <c r="B2" s="3">
        <v>45781</v>
      </c>
      <c r="C2" t="s">
        <v>14</v>
      </c>
      <c r="D2" t="s">
        <v>15</v>
      </c>
      <c r="E2" t="s">
        <v>10</v>
      </c>
      <c r="F2" t="s">
        <v>16</v>
      </c>
      <c r="G2">
        <v>22829</v>
      </c>
      <c r="H2">
        <v>12</v>
      </c>
      <c r="I2">
        <v>0</v>
      </c>
      <c r="J2">
        <v>0</v>
      </c>
      <c r="K2">
        <v>2739.48</v>
      </c>
      <c r="L2">
        <v>25568.48</v>
      </c>
      <c r="M2" t="s">
        <v>17</v>
      </c>
    </row>
    <row r="3" spans="1:14" x14ac:dyDescent="0.3">
      <c r="A3" t="s">
        <v>18</v>
      </c>
      <c r="B3" s="3">
        <v>45794</v>
      </c>
      <c r="C3" t="s">
        <v>19</v>
      </c>
      <c r="D3" t="s">
        <v>15</v>
      </c>
      <c r="E3" t="s">
        <v>10</v>
      </c>
      <c r="F3" t="s">
        <v>16</v>
      </c>
      <c r="G3">
        <v>42637</v>
      </c>
      <c r="H3">
        <v>5</v>
      </c>
      <c r="I3">
        <v>0</v>
      </c>
      <c r="J3">
        <v>0</v>
      </c>
      <c r="K3">
        <v>2131.85</v>
      </c>
      <c r="L3">
        <v>44768.85</v>
      </c>
      <c r="M3" t="s">
        <v>20</v>
      </c>
      <c r="N3" t="b">
        <f>ISNUMBER(B13)</f>
        <v>1</v>
      </c>
    </row>
    <row r="4" spans="1:14" x14ac:dyDescent="0.3">
      <c r="A4" t="s">
        <v>21</v>
      </c>
      <c r="B4" s="3">
        <v>45863</v>
      </c>
      <c r="C4" t="s">
        <v>22</v>
      </c>
      <c r="D4" t="s">
        <v>23</v>
      </c>
      <c r="E4" t="s">
        <v>24</v>
      </c>
      <c r="F4" t="s">
        <v>25</v>
      </c>
      <c r="G4">
        <v>24512</v>
      </c>
      <c r="H4">
        <v>5</v>
      </c>
      <c r="I4">
        <v>612.79999999999995</v>
      </c>
      <c r="J4">
        <v>612.79999999999995</v>
      </c>
      <c r="K4">
        <v>0</v>
      </c>
      <c r="L4">
        <v>25737.599999999999</v>
      </c>
      <c r="M4" t="s">
        <v>17</v>
      </c>
    </row>
    <row r="5" spans="1:14" x14ac:dyDescent="0.3">
      <c r="A5" t="s">
        <v>26</v>
      </c>
      <c r="B5" s="3">
        <v>45813</v>
      </c>
      <c r="C5" t="s">
        <v>22</v>
      </c>
      <c r="D5" t="s">
        <v>15</v>
      </c>
      <c r="E5" t="s">
        <v>10</v>
      </c>
      <c r="F5" t="s">
        <v>27</v>
      </c>
      <c r="G5">
        <v>29620</v>
      </c>
      <c r="H5">
        <v>5</v>
      </c>
      <c r="I5">
        <v>0</v>
      </c>
      <c r="J5">
        <v>0</v>
      </c>
      <c r="K5">
        <v>1481</v>
      </c>
      <c r="L5">
        <v>31101</v>
      </c>
      <c r="M5" t="s">
        <v>17</v>
      </c>
    </row>
    <row r="6" spans="1:14" x14ac:dyDescent="0.3">
      <c r="A6" t="s">
        <v>28</v>
      </c>
      <c r="B6" s="3">
        <v>45755</v>
      </c>
      <c r="C6" t="s">
        <v>29</v>
      </c>
      <c r="D6" t="s">
        <v>30</v>
      </c>
      <c r="E6" t="s">
        <v>10</v>
      </c>
      <c r="F6" t="s">
        <v>31</v>
      </c>
      <c r="G6">
        <v>23603</v>
      </c>
      <c r="H6">
        <v>5</v>
      </c>
      <c r="I6">
        <v>0</v>
      </c>
      <c r="J6">
        <v>0</v>
      </c>
      <c r="K6">
        <v>1180.1500000000001</v>
      </c>
      <c r="L6">
        <v>24783.15</v>
      </c>
      <c r="M6" t="s">
        <v>17</v>
      </c>
    </row>
    <row r="7" spans="1:14" x14ac:dyDescent="0.3">
      <c r="A7" t="s">
        <v>32</v>
      </c>
      <c r="B7" s="3">
        <v>45794</v>
      </c>
      <c r="C7" t="s">
        <v>14</v>
      </c>
      <c r="D7" t="s">
        <v>15</v>
      </c>
      <c r="E7" t="s">
        <v>10</v>
      </c>
      <c r="F7" t="s">
        <v>16</v>
      </c>
      <c r="G7">
        <v>39943</v>
      </c>
      <c r="H7">
        <v>12</v>
      </c>
      <c r="I7">
        <v>0</v>
      </c>
      <c r="J7">
        <v>0</v>
      </c>
      <c r="K7">
        <v>4793.16</v>
      </c>
      <c r="L7">
        <v>44736.160000000003</v>
      </c>
      <c r="M7" t="s">
        <v>20</v>
      </c>
    </row>
    <row r="8" spans="1:14" x14ac:dyDescent="0.3">
      <c r="A8" t="s">
        <v>33</v>
      </c>
      <c r="B8" s="3">
        <v>45798</v>
      </c>
      <c r="C8" t="s">
        <v>19</v>
      </c>
      <c r="D8" t="s">
        <v>15</v>
      </c>
      <c r="E8" t="s">
        <v>10</v>
      </c>
      <c r="F8" t="s">
        <v>16</v>
      </c>
      <c r="G8">
        <v>26739</v>
      </c>
      <c r="H8">
        <v>18</v>
      </c>
      <c r="I8">
        <v>0</v>
      </c>
      <c r="J8">
        <v>0</v>
      </c>
      <c r="K8">
        <v>4813.0200000000004</v>
      </c>
      <c r="L8">
        <v>31552.02</v>
      </c>
      <c r="M8" t="s">
        <v>17</v>
      </c>
    </row>
    <row r="9" spans="1:14" x14ac:dyDescent="0.3">
      <c r="A9" t="s">
        <v>34</v>
      </c>
      <c r="B9" s="3">
        <v>45751</v>
      </c>
      <c r="C9" t="s">
        <v>14</v>
      </c>
      <c r="D9" t="s">
        <v>23</v>
      </c>
      <c r="E9" t="s">
        <v>24</v>
      </c>
      <c r="F9" t="s">
        <v>25</v>
      </c>
      <c r="G9">
        <v>36460</v>
      </c>
      <c r="H9">
        <v>12</v>
      </c>
      <c r="I9">
        <v>2187.6</v>
      </c>
      <c r="J9">
        <v>2187.6</v>
      </c>
      <c r="K9">
        <v>0</v>
      </c>
      <c r="L9">
        <v>40835.199999999997</v>
      </c>
      <c r="M9" t="s">
        <v>17</v>
      </c>
    </row>
    <row r="10" spans="1:14" x14ac:dyDescent="0.3">
      <c r="A10" t="s">
        <v>35</v>
      </c>
      <c r="B10" s="3">
        <v>45758</v>
      </c>
      <c r="C10" t="s">
        <v>29</v>
      </c>
      <c r="D10" t="s">
        <v>15</v>
      </c>
      <c r="E10" t="s">
        <v>10</v>
      </c>
      <c r="F10" t="s">
        <v>36</v>
      </c>
      <c r="G10">
        <v>46145</v>
      </c>
      <c r="H10">
        <v>5</v>
      </c>
      <c r="I10">
        <v>0</v>
      </c>
      <c r="J10">
        <v>0</v>
      </c>
      <c r="K10">
        <v>2307.25</v>
      </c>
      <c r="L10">
        <v>48452.25</v>
      </c>
      <c r="M10" t="s">
        <v>17</v>
      </c>
    </row>
    <row r="11" spans="1:14" x14ac:dyDescent="0.3">
      <c r="A11" t="s">
        <v>37</v>
      </c>
      <c r="B11" s="3">
        <v>45760</v>
      </c>
      <c r="C11" t="s">
        <v>38</v>
      </c>
      <c r="D11" t="s">
        <v>15</v>
      </c>
      <c r="E11" t="s">
        <v>10</v>
      </c>
      <c r="F11" t="s">
        <v>31</v>
      </c>
      <c r="G11">
        <v>22696</v>
      </c>
      <c r="H11">
        <v>18</v>
      </c>
      <c r="I11">
        <v>0</v>
      </c>
      <c r="J11">
        <v>0</v>
      </c>
      <c r="K11">
        <v>4085.28</v>
      </c>
      <c r="L11">
        <v>26781.279999999999</v>
      </c>
      <c r="M11" t="s">
        <v>20</v>
      </c>
    </row>
    <row r="12" spans="1:14" x14ac:dyDescent="0.3">
      <c r="A12" t="s">
        <v>39</v>
      </c>
      <c r="B12" s="3">
        <v>45837</v>
      </c>
      <c r="C12" t="s">
        <v>40</v>
      </c>
      <c r="D12" t="s">
        <v>23</v>
      </c>
      <c r="E12" t="s">
        <v>24</v>
      </c>
      <c r="F12" t="s">
        <v>25</v>
      </c>
      <c r="G12">
        <v>38663</v>
      </c>
      <c r="H12">
        <v>18</v>
      </c>
      <c r="I12">
        <v>3479.67</v>
      </c>
      <c r="J12">
        <v>3479.67</v>
      </c>
      <c r="K12">
        <v>0</v>
      </c>
      <c r="L12">
        <v>45622.34</v>
      </c>
      <c r="M12" t="s">
        <v>17</v>
      </c>
    </row>
    <row r="13" spans="1:14" x14ac:dyDescent="0.3">
      <c r="A13" t="s">
        <v>41</v>
      </c>
      <c r="B13" s="3">
        <v>45800</v>
      </c>
      <c r="C13" t="s">
        <v>42</v>
      </c>
      <c r="D13" t="s">
        <v>15</v>
      </c>
      <c r="E13" t="s">
        <v>10</v>
      </c>
      <c r="F13" t="s">
        <v>36</v>
      </c>
      <c r="G13">
        <v>42474</v>
      </c>
      <c r="H13">
        <v>5</v>
      </c>
      <c r="I13">
        <v>0</v>
      </c>
      <c r="J13">
        <v>0</v>
      </c>
      <c r="K13">
        <v>2123.6999999999998</v>
      </c>
      <c r="L13">
        <v>44597.7</v>
      </c>
      <c r="M13" t="s">
        <v>20</v>
      </c>
    </row>
    <row r="14" spans="1:14" x14ac:dyDescent="0.3">
      <c r="A14" t="s">
        <v>43</v>
      </c>
      <c r="B14" s="3">
        <v>45781</v>
      </c>
      <c r="C14" t="s">
        <v>19</v>
      </c>
      <c r="D14" t="s">
        <v>30</v>
      </c>
      <c r="E14" t="s">
        <v>10</v>
      </c>
      <c r="F14" t="s">
        <v>44</v>
      </c>
      <c r="G14">
        <v>31225</v>
      </c>
      <c r="H14">
        <v>12</v>
      </c>
      <c r="I14">
        <v>0</v>
      </c>
      <c r="J14">
        <v>0</v>
      </c>
      <c r="K14">
        <v>3747</v>
      </c>
      <c r="L14">
        <v>34972</v>
      </c>
      <c r="M14" t="s">
        <v>17</v>
      </c>
    </row>
    <row r="15" spans="1:14" x14ac:dyDescent="0.3">
      <c r="A15" t="s">
        <v>45</v>
      </c>
      <c r="B15" s="3">
        <v>45762</v>
      </c>
      <c r="C15" t="s">
        <v>22</v>
      </c>
      <c r="D15" t="s">
        <v>15</v>
      </c>
      <c r="E15" t="s">
        <v>10</v>
      </c>
      <c r="F15" t="s">
        <v>27</v>
      </c>
      <c r="G15">
        <v>29725</v>
      </c>
      <c r="H15">
        <v>12</v>
      </c>
      <c r="I15">
        <v>0</v>
      </c>
      <c r="J15">
        <v>0</v>
      </c>
      <c r="K15">
        <v>3567</v>
      </c>
      <c r="L15">
        <v>33292</v>
      </c>
      <c r="M15" t="s">
        <v>17</v>
      </c>
    </row>
    <row r="16" spans="1:14" x14ac:dyDescent="0.3">
      <c r="A16" t="s">
        <v>46</v>
      </c>
      <c r="B16" s="3">
        <v>45758</v>
      </c>
      <c r="C16" t="s">
        <v>19</v>
      </c>
      <c r="D16" t="s">
        <v>15</v>
      </c>
      <c r="E16" t="s">
        <v>10</v>
      </c>
      <c r="F16" t="s">
        <v>36</v>
      </c>
      <c r="G16">
        <v>34714</v>
      </c>
      <c r="H16">
        <v>12</v>
      </c>
      <c r="I16">
        <v>0</v>
      </c>
      <c r="J16">
        <v>0</v>
      </c>
      <c r="K16">
        <v>4165.68</v>
      </c>
      <c r="L16">
        <v>38879.68</v>
      </c>
      <c r="M16" t="s">
        <v>17</v>
      </c>
    </row>
    <row r="17" spans="1:13" x14ac:dyDescent="0.3">
      <c r="A17" t="s">
        <v>47</v>
      </c>
      <c r="B17" s="3">
        <v>45795</v>
      </c>
      <c r="C17" t="s">
        <v>40</v>
      </c>
      <c r="D17" t="s">
        <v>23</v>
      </c>
      <c r="E17" t="s">
        <v>24</v>
      </c>
      <c r="F17" t="s">
        <v>48</v>
      </c>
      <c r="G17">
        <v>22783</v>
      </c>
      <c r="H17">
        <v>5</v>
      </c>
      <c r="I17">
        <v>569.58000000000004</v>
      </c>
      <c r="J17">
        <v>569.58000000000004</v>
      </c>
      <c r="K17">
        <v>0</v>
      </c>
      <c r="L17">
        <v>23922.16</v>
      </c>
      <c r="M17" t="s">
        <v>20</v>
      </c>
    </row>
    <row r="18" spans="1:13" x14ac:dyDescent="0.3">
      <c r="A18" t="s">
        <v>49</v>
      </c>
      <c r="B18" s="3">
        <v>45795</v>
      </c>
      <c r="C18" t="s">
        <v>19</v>
      </c>
      <c r="D18" t="s">
        <v>30</v>
      </c>
      <c r="E18" t="s">
        <v>10</v>
      </c>
      <c r="F18" t="s">
        <v>27</v>
      </c>
      <c r="G18">
        <v>42386</v>
      </c>
      <c r="H18">
        <v>18</v>
      </c>
      <c r="I18">
        <v>0</v>
      </c>
      <c r="J18">
        <v>0</v>
      </c>
      <c r="K18">
        <v>7629.48</v>
      </c>
      <c r="L18">
        <v>50015.48</v>
      </c>
      <c r="M18" t="s">
        <v>17</v>
      </c>
    </row>
    <row r="19" spans="1:13" x14ac:dyDescent="0.3">
      <c r="A19" t="s">
        <v>50</v>
      </c>
      <c r="B19" s="3">
        <v>45811</v>
      </c>
      <c r="C19" t="s">
        <v>51</v>
      </c>
      <c r="D19" t="s">
        <v>30</v>
      </c>
      <c r="E19" t="s">
        <v>10</v>
      </c>
      <c r="F19" t="s">
        <v>52</v>
      </c>
      <c r="G19">
        <v>23533</v>
      </c>
      <c r="H19">
        <v>5</v>
      </c>
      <c r="I19">
        <v>0</v>
      </c>
      <c r="J19">
        <v>0</v>
      </c>
      <c r="K19">
        <v>1176.6500000000001</v>
      </c>
      <c r="L19">
        <v>24709.65</v>
      </c>
      <c r="M19" t="s">
        <v>17</v>
      </c>
    </row>
    <row r="20" spans="1:13" x14ac:dyDescent="0.3">
      <c r="A20" t="s">
        <v>53</v>
      </c>
      <c r="B20" s="3">
        <v>45864</v>
      </c>
      <c r="C20" t="s">
        <v>19</v>
      </c>
      <c r="D20" t="s">
        <v>30</v>
      </c>
      <c r="E20" t="s">
        <v>10</v>
      </c>
      <c r="F20" t="s">
        <v>31</v>
      </c>
      <c r="G20">
        <v>10698</v>
      </c>
      <c r="H20">
        <v>5</v>
      </c>
      <c r="I20">
        <v>0</v>
      </c>
      <c r="J20">
        <v>0</v>
      </c>
      <c r="K20">
        <v>534.9</v>
      </c>
      <c r="L20">
        <v>11232.9</v>
      </c>
      <c r="M20" t="s">
        <v>20</v>
      </c>
    </row>
    <row r="21" spans="1:13" x14ac:dyDescent="0.3">
      <c r="A21" t="s">
        <v>54</v>
      </c>
      <c r="B21" s="3">
        <v>45791</v>
      </c>
      <c r="C21" t="s">
        <v>29</v>
      </c>
      <c r="D21" t="s">
        <v>23</v>
      </c>
      <c r="E21" t="s">
        <v>24</v>
      </c>
      <c r="F21" t="s">
        <v>27</v>
      </c>
      <c r="G21">
        <v>9088</v>
      </c>
      <c r="H21">
        <v>12</v>
      </c>
      <c r="I21">
        <v>545.28</v>
      </c>
      <c r="J21">
        <v>545.28</v>
      </c>
      <c r="K21">
        <v>0</v>
      </c>
      <c r="L21">
        <v>10178.56</v>
      </c>
      <c r="M21" t="s">
        <v>20</v>
      </c>
    </row>
    <row r="22" spans="1:13" x14ac:dyDescent="0.3">
      <c r="A22" t="s">
        <v>55</v>
      </c>
      <c r="B22" s="3">
        <v>45763</v>
      </c>
      <c r="C22" t="s">
        <v>42</v>
      </c>
      <c r="D22" t="s">
        <v>15</v>
      </c>
      <c r="E22" t="s">
        <v>10</v>
      </c>
      <c r="F22" t="s">
        <v>27</v>
      </c>
      <c r="G22">
        <v>30460</v>
      </c>
      <c r="H22">
        <v>12</v>
      </c>
      <c r="I22">
        <v>0</v>
      </c>
      <c r="J22">
        <v>0</v>
      </c>
      <c r="K22">
        <v>3655.2</v>
      </c>
      <c r="L22">
        <v>34115.199999999997</v>
      </c>
      <c r="M22" t="s">
        <v>17</v>
      </c>
    </row>
    <row r="23" spans="1:13" x14ac:dyDescent="0.3">
      <c r="A23" t="s">
        <v>56</v>
      </c>
      <c r="B23" s="3">
        <v>45773</v>
      </c>
      <c r="C23" t="s">
        <v>38</v>
      </c>
      <c r="D23" t="s">
        <v>30</v>
      </c>
      <c r="E23" t="s">
        <v>10</v>
      </c>
      <c r="F23" t="s">
        <v>27</v>
      </c>
      <c r="G23">
        <v>29958</v>
      </c>
      <c r="H23">
        <v>18</v>
      </c>
      <c r="I23">
        <v>0</v>
      </c>
      <c r="J23">
        <v>0</v>
      </c>
      <c r="K23">
        <v>5392.44</v>
      </c>
      <c r="L23">
        <v>35350.44</v>
      </c>
      <c r="M23" t="s">
        <v>17</v>
      </c>
    </row>
    <row r="24" spans="1:13" x14ac:dyDescent="0.3">
      <c r="A24" t="s">
        <v>57</v>
      </c>
      <c r="B24" s="3">
        <v>45856</v>
      </c>
      <c r="C24" t="s">
        <v>40</v>
      </c>
      <c r="D24" t="s">
        <v>30</v>
      </c>
      <c r="E24" t="s">
        <v>10</v>
      </c>
      <c r="F24" t="s">
        <v>27</v>
      </c>
      <c r="G24">
        <v>10009</v>
      </c>
      <c r="H24">
        <v>18</v>
      </c>
      <c r="I24">
        <v>0</v>
      </c>
      <c r="J24">
        <v>0</v>
      </c>
      <c r="K24">
        <v>1801.62</v>
      </c>
      <c r="L24">
        <v>11810.62</v>
      </c>
      <c r="M24" t="s">
        <v>20</v>
      </c>
    </row>
    <row r="25" spans="1:13" x14ac:dyDescent="0.3">
      <c r="A25" t="s">
        <v>58</v>
      </c>
      <c r="B25" s="3">
        <v>45775</v>
      </c>
      <c r="C25" t="s">
        <v>19</v>
      </c>
      <c r="D25" t="s">
        <v>30</v>
      </c>
      <c r="E25" t="s">
        <v>10</v>
      </c>
      <c r="F25" t="s">
        <v>27</v>
      </c>
      <c r="G25">
        <v>22366</v>
      </c>
      <c r="H25">
        <v>18</v>
      </c>
      <c r="I25">
        <v>0</v>
      </c>
      <c r="J25">
        <v>0</v>
      </c>
      <c r="K25">
        <v>4025.88</v>
      </c>
      <c r="L25">
        <v>26391.88</v>
      </c>
      <c r="M25" t="s">
        <v>20</v>
      </c>
    </row>
    <row r="26" spans="1:13" x14ac:dyDescent="0.3">
      <c r="A26" t="s">
        <v>59</v>
      </c>
      <c r="B26" s="3">
        <v>45770</v>
      </c>
      <c r="C26" t="s">
        <v>42</v>
      </c>
      <c r="D26" t="s">
        <v>30</v>
      </c>
      <c r="E26" t="s">
        <v>10</v>
      </c>
      <c r="F26" t="s">
        <v>44</v>
      </c>
      <c r="G26">
        <v>5370</v>
      </c>
      <c r="H26">
        <v>18</v>
      </c>
      <c r="I26">
        <v>0</v>
      </c>
      <c r="J26">
        <v>0</v>
      </c>
      <c r="K26">
        <v>966.6</v>
      </c>
      <c r="L26">
        <v>6336.6</v>
      </c>
      <c r="M26" t="s">
        <v>17</v>
      </c>
    </row>
    <row r="27" spans="1:13" x14ac:dyDescent="0.3">
      <c r="A27" t="s">
        <v>60</v>
      </c>
      <c r="B27" s="3">
        <v>45858</v>
      </c>
      <c r="C27" t="s">
        <v>40</v>
      </c>
      <c r="D27" t="s">
        <v>15</v>
      </c>
      <c r="E27" t="s">
        <v>10</v>
      </c>
      <c r="F27" t="s">
        <v>27</v>
      </c>
      <c r="G27">
        <v>32971</v>
      </c>
      <c r="H27">
        <v>18</v>
      </c>
      <c r="I27">
        <v>0</v>
      </c>
      <c r="J27">
        <v>0</v>
      </c>
      <c r="K27">
        <v>5934.78</v>
      </c>
      <c r="L27">
        <v>38905.78</v>
      </c>
      <c r="M27" t="s">
        <v>20</v>
      </c>
    </row>
    <row r="28" spans="1:13" x14ac:dyDescent="0.3">
      <c r="A28" t="s">
        <v>61</v>
      </c>
      <c r="B28" s="3">
        <v>45805</v>
      </c>
      <c r="C28" t="s">
        <v>40</v>
      </c>
      <c r="D28" t="s">
        <v>15</v>
      </c>
      <c r="E28" t="s">
        <v>10</v>
      </c>
      <c r="F28" t="s">
        <v>44</v>
      </c>
      <c r="G28">
        <v>31191</v>
      </c>
      <c r="H28">
        <v>5</v>
      </c>
      <c r="I28">
        <v>0</v>
      </c>
      <c r="J28">
        <v>0</v>
      </c>
      <c r="K28">
        <v>1559.55</v>
      </c>
      <c r="L28">
        <v>32750.55</v>
      </c>
      <c r="M28" t="s">
        <v>20</v>
      </c>
    </row>
    <row r="29" spans="1:13" x14ac:dyDescent="0.3">
      <c r="A29" t="s">
        <v>62</v>
      </c>
      <c r="B29" s="3">
        <v>45855</v>
      </c>
      <c r="C29" t="s">
        <v>38</v>
      </c>
      <c r="D29" t="s">
        <v>30</v>
      </c>
      <c r="E29" t="s">
        <v>10</v>
      </c>
      <c r="F29" t="s">
        <v>16</v>
      </c>
      <c r="G29">
        <v>16284</v>
      </c>
      <c r="H29">
        <v>18</v>
      </c>
      <c r="I29">
        <v>0</v>
      </c>
      <c r="J29">
        <v>0</v>
      </c>
      <c r="K29">
        <v>2931.12</v>
      </c>
      <c r="L29">
        <v>19215.12</v>
      </c>
      <c r="M29" t="s">
        <v>17</v>
      </c>
    </row>
    <row r="30" spans="1:13" x14ac:dyDescent="0.3">
      <c r="A30" t="s">
        <v>63</v>
      </c>
      <c r="B30" s="3">
        <v>45776</v>
      </c>
      <c r="C30" t="s">
        <v>38</v>
      </c>
      <c r="D30" t="s">
        <v>23</v>
      </c>
      <c r="E30" t="s">
        <v>24</v>
      </c>
      <c r="F30" t="s">
        <v>16</v>
      </c>
      <c r="G30">
        <v>30998</v>
      </c>
      <c r="H30">
        <v>12</v>
      </c>
      <c r="I30">
        <v>1859.88</v>
      </c>
      <c r="J30">
        <v>1859.88</v>
      </c>
      <c r="K30">
        <v>0</v>
      </c>
      <c r="L30">
        <v>34717.759999999987</v>
      </c>
      <c r="M30" t="s">
        <v>20</v>
      </c>
    </row>
    <row r="31" spans="1:13" x14ac:dyDescent="0.3">
      <c r="A31" t="s">
        <v>64</v>
      </c>
      <c r="B31" s="3">
        <v>45847</v>
      </c>
      <c r="C31" t="s">
        <v>42</v>
      </c>
      <c r="D31" t="s">
        <v>30</v>
      </c>
      <c r="E31" t="s">
        <v>10</v>
      </c>
      <c r="F31" t="s">
        <v>31</v>
      </c>
      <c r="G31">
        <v>33616</v>
      </c>
      <c r="H31">
        <v>18</v>
      </c>
      <c r="I31">
        <v>0</v>
      </c>
      <c r="J31">
        <v>0</v>
      </c>
      <c r="K31">
        <v>6050.88</v>
      </c>
      <c r="L31">
        <v>39666.879999999997</v>
      </c>
      <c r="M31" t="s">
        <v>17</v>
      </c>
    </row>
    <row r="32" spans="1:13" x14ac:dyDescent="0.3">
      <c r="A32" t="s">
        <v>65</v>
      </c>
      <c r="B32" s="3">
        <v>45824</v>
      </c>
      <c r="C32" t="s">
        <v>29</v>
      </c>
      <c r="D32" t="s">
        <v>15</v>
      </c>
      <c r="E32" t="s">
        <v>10</v>
      </c>
      <c r="F32" t="s">
        <v>27</v>
      </c>
      <c r="G32">
        <v>24424</v>
      </c>
      <c r="H32">
        <v>12</v>
      </c>
      <c r="I32">
        <v>0</v>
      </c>
      <c r="J32">
        <v>0</v>
      </c>
      <c r="K32">
        <v>2930.88</v>
      </c>
      <c r="L32">
        <v>27354.880000000001</v>
      </c>
      <c r="M32" t="s">
        <v>20</v>
      </c>
    </row>
    <row r="33" spans="1:13" x14ac:dyDescent="0.3">
      <c r="A33" t="s">
        <v>66</v>
      </c>
      <c r="B33" s="3">
        <v>45856</v>
      </c>
      <c r="C33" t="s">
        <v>38</v>
      </c>
      <c r="D33" t="s">
        <v>30</v>
      </c>
      <c r="E33" t="s">
        <v>10</v>
      </c>
      <c r="F33" t="s">
        <v>27</v>
      </c>
      <c r="G33">
        <v>13304</v>
      </c>
      <c r="H33">
        <v>18</v>
      </c>
      <c r="I33">
        <v>0</v>
      </c>
      <c r="J33">
        <v>0</v>
      </c>
      <c r="K33">
        <v>2394.7199999999998</v>
      </c>
      <c r="L33">
        <v>15698.72</v>
      </c>
      <c r="M33" t="s">
        <v>17</v>
      </c>
    </row>
    <row r="34" spans="1:13" x14ac:dyDescent="0.3">
      <c r="A34" t="s">
        <v>67</v>
      </c>
      <c r="B34" s="3">
        <v>45820</v>
      </c>
      <c r="C34" t="s">
        <v>22</v>
      </c>
      <c r="D34" t="s">
        <v>30</v>
      </c>
      <c r="E34" t="s">
        <v>10</v>
      </c>
      <c r="F34" t="s">
        <v>48</v>
      </c>
      <c r="G34">
        <v>30375</v>
      </c>
      <c r="H34">
        <v>12</v>
      </c>
      <c r="I34">
        <v>0</v>
      </c>
      <c r="J34">
        <v>0</v>
      </c>
      <c r="K34">
        <v>3645</v>
      </c>
      <c r="L34">
        <v>34020</v>
      </c>
      <c r="M34" t="s">
        <v>17</v>
      </c>
    </row>
    <row r="35" spans="1:13" x14ac:dyDescent="0.3">
      <c r="A35" t="s">
        <v>68</v>
      </c>
      <c r="B35" s="3">
        <v>45850</v>
      </c>
      <c r="C35" t="s">
        <v>40</v>
      </c>
      <c r="D35" t="s">
        <v>30</v>
      </c>
      <c r="E35" t="s">
        <v>10</v>
      </c>
      <c r="F35" t="s">
        <v>16</v>
      </c>
      <c r="G35">
        <v>38726</v>
      </c>
      <c r="H35">
        <v>18</v>
      </c>
      <c r="I35">
        <v>0</v>
      </c>
      <c r="J35">
        <v>0</v>
      </c>
      <c r="K35">
        <v>6970.68</v>
      </c>
      <c r="L35">
        <v>45696.68</v>
      </c>
      <c r="M35" t="s">
        <v>17</v>
      </c>
    </row>
    <row r="36" spans="1:13" x14ac:dyDescent="0.3">
      <c r="A36" t="s">
        <v>69</v>
      </c>
      <c r="B36" s="3">
        <v>45788</v>
      </c>
      <c r="C36" t="s">
        <v>38</v>
      </c>
      <c r="D36" t="s">
        <v>15</v>
      </c>
      <c r="E36" t="s">
        <v>10</v>
      </c>
      <c r="F36" t="s">
        <v>48</v>
      </c>
      <c r="G36">
        <v>14419</v>
      </c>
      <c r="H36">
        <v>12</v>
      </c>
      <c r="I36">
        <v>0</v>
      </c>
      <c r="J36">
        <v>0</v>
      </c>
      <c r="K36">
        <v>1730.28</v>
      </c>
      <c r="L36">
        <v>16149.28</v>
      </c>
      <c r="M36" t="s">
        <v>17</v>
      </c>
    </row>
    <row r="37" spans="1:13" x14ac:dyDescent="0.3">
      <c r="A37" t="s">
        <v>70</v>
      </c>
      <c r="B37" s="3">
        <v>45820</v>
      </c>
      <c r="C37" t="s">
        <v>42</v>
      </c>
      <c r="D37" t="s">
        <v>23</v>
      </c>
      <c r="E37" t="s">
        <v>24</v>
      </c>
      <c r="F37" t="s">
        <v>25</v>
      </c>
      <c r="G37">
        <v>48655</v>
      </c>
      <c r="H37">
        <v>5</v>
      </c>
      <c r="I37">
        <v>1216.3800000000001</v>
      </c>
      <c r="J37">
        <v>1216.3800000000001</v>
      </c>
      <c r="K37">
        <v>0</v>
      </c>
      <c r="L37">
        <v>51087.759999999987</v>
      </c>
      <c r="M37" t="s">
        <v>17</v>
      </c>
    </row>
    <row r="38" spans="1:13" x14ac:dyDescent="0.3">
      <c r="A38" t="s">
        <v>71</v>
      </c>
      <c r="B38" s="3">
        <v>45848</v>
      </c>
      <c r="C38" t="s">
        <v>42</v>
      </c>
      <c r="D38" t="s">
        <v>23</v>
      </c>
      <c r="E38" t="s">
        <v>24</v>
      </c>
      <c r="F38" t="s">
        <v>52</v>
      </c>
      <c r="G38">
        <v>44110</v>
      </c>
      <c r="H38">
        <v>5</v>
      </c>
      <c r="I38">
        <v>1102.75</v>
      </c>
      <c r="J38">
        <v>1102.75</v>
      </c>
      <c r="K38">
        <v>0</v>
      </c>
      <c r="L38">
        <v>46315.5</v>
      </c>
      <c r="M38" t="s">
        <v>20</v>
      </c>
    </row>
    <row r="39" spans="1:13" x14ac:dyDescent="0.3">
      <c r="A39" t="s">
        <v>72</v>
      </c>
      <c r="B39" s="3">
        <v>45768</v>
      </c>
      <c r="C39" t="s">
        <v>29</v>
      </c>
      <c r="D39" t="s">
        <v>15</v>
      </c>
      <c r="E39" t="s">
        <v>10</v>
      </c>
      <c r="F39" t="s">
        <v>27</v>
      </c>
      <c r="G39">
        <v>27365</v>
      </c>
      <c r="H39">
        <v>12</v>
      </c>
      <c r="I39">
        <v>0</v>
      </c>
      <c r="J39">
        <v>0</v>
      </c>
      <c r="K39">
        <v>3283.8</v>
      </c>
      <c r="L39">
        <v>30648.799999999999</v>
      </c>
      <c r="M39" t="s">
        <v>17</v>
      </c>
    </row>
    <row r="40" spans="1:13" x14ac:dyDescent="0.3">
      <c r="A40" t="s">
        <v>73</v>
      </c>
      <c r="B40" s="3">
        <v>45868</v>
      </c>
      <c r="C40" t="s">
        <v>29</v>
      </c>
      <c r="D40" t="s">
        <v>23</v>
      </c>
      <c r="E40" t="s">
        <v>24</v>
      </c>
      <c r="F40" t="s">
        <v>52</v>
      </c>
      <c r="G40">
        <v>34198</v>
      </c>
      <c r="H40">
        <v>18</v>
      </c>
      <c r="I40">
        <v>3077.82</v>
      </c>
      <c r="J40">
        <v>3077.82</v>
      </c>
      <c r="K40">
        <v>0</v>
      </c>
      <c r="L40">
        <v>40353.64</v>
      </c>
      <c r="M40" t="s">
        <v>17</v>
      </c>
    </row>
    <row r="41" spans="1:13" x14ac:dyDescent="0.3">
      <c r="A41" t="s">
        <v>74</v>
      </c>
      <c r="B41" s="3">
        <v>45758</v>
      </c>
      <c r="C41" t="s">
        <v>40</v>
      </c>
      <c r="D41" t="s">
        <v>15</v>
      </c>
      <c r="E41" t="s">
        <v>10</v>
      </c>
      <c r="F41" t="s">
        <v>52</v>
      </c>
      <c r="G41">
        <v>5443</v>
      </c>
      <c r="H41">
        <v>18</v>
      </c>
      <c r="I41">
        <v>0</v>
      </c>
      <c r="J41">
        <v>0</v>
      </c>
      <c r="K41">
        <v>979.74</v>
      </c>
      <c r="L41">
        <v>6422.74</v>
      </c>
      <c r="M41" t="s">
        <v>17</v>
      </c>
    </row>
    <row r="42" spans="1:13" x14ac:dyDescent="0.3">
      <c r="A42" t="s">
        <v>75</v>
      </c>
      <c r="B42" s="3">
        <v>45816</v>
      </c>
      <c r="C42" t="s">
        <v>38</v>
      </c>
      <c r="D42" t="s">
        <v>23</v>
      </c>
      <c r="E42" t="s">
        <v>24</v>
      </c>
      <c r="F42" t="s">
        <v>44</v>
      </c>
      <c r="G42">
        <v>48520</v>
      </c>
      <c r="H42">
        <v>5</v>
      </c>
      <c r="I42">
        <v>1213</v>
      </c>
      <c r="J42">
        <v>1213</v>
      </c>
      <c r="K42">
        <v>0</v>
      </c>
      <c r="L42">
        <v>50946</v>
      </c>
      <c r="M42" t="s">
        <v>20</v>
      </c>
    </row>
    <row r="43" spans="1:13" x14ac:dyDescent="0.3">
      <c r="A43" t="s">
        <v>76</v>
      </c>
      <c r="B43" s="3">
        <v>45862</v>
      </c>
      <c r="C43" t="s">
        <v>19</v>
      </c>
      <c r="D43" t="s">
        <v>30</v>
      </c>
      <c r="E43" t="s">
        <v>10</v>
      </c>
      <c r="F43" t="s">
        <v>48</v>
      </c>
      <c r="G43">
        <v>18043</v>
      </c>
      <c r="H43">
        <v>18</v>
      </c>
      <c r="I43">
        <v>0</v>
      </c>
      <c r="J43">
        <v>0</v>
      </c>
      <c r="K43">
        <v>3247.74</v>
      </c>
      <c r="L43">
        <v>21290.74</v>
      </c>
      <c r="M43" t="s">
        <v>17</v>
      </c>
    </row>
    <row r="44" spans="1:13" x14ac:dyDescent="0.3">
      <c r="A44" t="s">
        <v>77</v>
      </c>
      <c r="B44" s="3">
        <v>45755</v>
      </c>
      <c r="C44" t="s">
        <v>51</v>
      </c>
      <c r="D44" t="s">
        <v>23</v>
      </c>
      <c r="E44" t="s">
        <v>24</v>
      </c>
      <c r="F44" t="s">
        <v>31</v>
      </c>
      <c r="G44">
        <v>13512</v>
      </c>
      <c r="H44">
        <v>12</v>
      </c>
      <c r="I44">
        <v>810.72</v>
      </c>
      <c r="J44">
        <v>810.72</v>
      </c>
      <c r="K44">
        <v>0</v>
      </c>
      <c r="L44">
        <v>15133.44</v>
      </c>
      <c r="M44" t="s">
        <v>17</v>
      </c>
    </row>
    <row r="45" spans="1:13" x14ac:dyDescent="0.3">
      <c r="A45" t="s">
        <v>78</v>
      </c>
      <c r="B45" s="3">
        <v>45792</v>
      </c>
      <c r="C45" t="s">
        <v>40</v>
      </c>
      <c r="D45" t="s">
        <v>30</v>
      </c>
      <c r="E45" t="s">
        <v>10</v>
      </c>
      <c r="F45" t="s">
        <v>48</v>
      </c>
      <c r="G45">
        <v>47251</v>
      </c>
      <c r="H45">
        <v>5</v>
      </c>
      <c r="I45">
        <v>0</v>
      </c>
      <c r="J45">
        <v>0</v>
      </c>
      <c r="K45">
        <v>2362.5500000000002</v>
      </c>
      <c r="L45">
        <v>49613.55</v>
      </c>
      <c r="M45" t="s">
        <v>17</v>
      </c>
    </row>
    <row r="46" spans="1:13" x14ac:dyDescent="0.3">
      <c r="A46" t="s">
        <v>79</v>
      </c>
      <c r="B46" s="3">
        <v>45862</v>
      </c>
      <c r="C46" t="s">
        <v>14</v>
      </c>
      <c r="D46" t="s">
        <v>30</v>
      </c>
      <c r="E46" t="s">
        <v>10</v>
      </c>
      <c r="F46" t="s">
        <v>16</v>
      </c>
      <c r="G46">
        <v>23687</v>
      </c>
      <c r="H46">
        <v>18</v>
      </c>
      <c r="I46">
        <v>0</v>
      </c>
      <c r="J46">
        <v>0</v>
      </c>
      <c r="K46">
        <v>4263.66</v>
      </c>
      <c r="L46">
        <v>27950.66</v>
      </c>
      <c r="M46" t="s">
        <v>20</v>
      </c>
    </row>
    <row r="47" spans="1:13" x14ac:dyDescent="0.3">
      <c r="A47" t="s">
        <v>80</v>
      </c>
      <c r="B47" s="3">
        <v>45858</v>
      </c>
      <c r="C47" t="s">
        <v>19</v>
      </c>
      <c r="D47" t="s">
        <v>23</v>
      </c>
      <c r="E47" t="s">
        <v>24</v>
      </c>
      <c r="F47" t="s">
        <v>52</v>
      </c>
      <c r="G47">
        <v>32203</v>
      </c>
      <c r="H47">
        <v>12</v>
      </c>
      <c r="I47">
        <v>1932.18</v>
      </c>
      <c r="J47">
        <v>1932.18</v>
      </c>
      <c r="K47">
        <v>0</v>
      </c>
      <c r="L47">
        <v>36067.360000000001</v>
      </c>
      <c r="M47" t="s">
        <v>20</v>
      </c>
    </row>
    <row r="48" spans="1:13" x14ac:dyDescent="0.3">
      <c r="A48" t="s">
        <v>81</v>
      </c>
      <c r="B48" s="3">
        <v>45828</v>
      </c>
      <c r="C48" t="s">
        <v>22</v>
      </c>
      <c r="D48" t="s">
        <v>15</v>
      </c>
      <c r="E48" t="s">
        <v>10</v>
      </c>
      <c r="F48" t="s">
        <v>44</v>
      </c>
      <c r="G48">
        <v>11104</v>
      </c>
      <c r="H48">
        <v>18</v>
      </c>
      <c r="I48">
        <v>0</v>
      </c>
      <c r="J48">
        <v>0</v>
      </c>
      <c r="K48">
        <v>1998.72</v>
      </c>
      <c r="L48">
        <v>13102.72</v>
      </c>
      <c r="M48" t="s">
        <v>17</v>
      </c>
    </row>
    <row r="49" spans="1:13" x14ac:dyDescent="0.3">
      <c r="A49" t="s">
        <v>82</v>
      </c>
      <c r="B49" s="3">
        <v>45820</v>
      </c>
      <c r="C49" t="s">
        <v>40</v>
      </c>
      <c r="D49" t="s">
        <v>15</v>
      </c>
      <c r="E49" t="s">
        <v>10</v>
      </c>
      <c r="F49" t="s">
        <v>48</v>
      </c>
      <c r="G49">
        <v>27360</v>
      </c>
      <c r="H49">
        <v>5</v>
      </c>
      <c r="I49">
        <v>0</v>
      </c>
      <c r="J49">
        <v>0</v>
      </c>
      <c r="K49">
        <v>1368</v>
      </c>
      <c r="L49">
        <v>28728</v>
      </c>
      <c r="M49" t="s">
        <v>20</v>
      </c>
    </row>
    <row r="50" spans="1:13" x14ac:dyDescent="0.3">
      <c r="A50" t="s">
        <v>83</v>
      </c>
      <c r="B50" s="3">
        <v>45825</v>
      </c>
      <c r="C50" t="s">
        <v>29</v>
      </c>
      <c r="D50" t="s">
        <v>15</v>
      </c>
      <c r="E50" t="s">
        <v>10</v>
      </c>
      <c r="F50" t="s">
        <v>52</v>
      </c>
      <c r="G50">
        <v>26327</v>
      </c>
      <c r="H50">
        <v>18</v>
      </c>
      <c r="I50">
        <v>0</v>
      </c>
      <c r="J50">
        <v>0</v>
      </c>
      <c r="K50">
        <v>4738.8599999999997</v>
      </c>
      <c r="L50">
        <v>31065.86</v>
      </c>
      <c r="M50" t="s">
        <v>17</v>
      </c>
    </row>
    <row r="51" spans="1:13" x14ac:dyDescent="0.3">
      <c r="A51" t="s">
        <v>84</v>
      </c>
      <c r="B51" s="3">
        <v>45821</v>
      </c>
      <c r="C51" t="s">
        <v>22</v>
      </c>
      <c r="D51" t="s">
        <v>30</v>
      </c>
      <c r="E51" t="s">
        <v>10</v>
      </c>
      <c r="F51" t="s">
        <v>52</v>
      </c>
      <c r="G51">
        <v>37867</v>
      </c>
      <c r="H51">
        <v>18</v>
      </c>
      <c r="I51">
        <v>0</v>
      </c>
      <c r="J51">
        <v>0</v>
      </c>
      <c r="K51">
        <v>6816.06</v>
      </c>
      <c r="L51">
        <v>44683.06</v>
      </c>
      <c r="M51" t="s">
        <v>17</v>
      </c>
    </row>
  </sheetData>
  <phoneticPr fontId="2"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F435B-D30C-4C62-974A-FC6A11D2385F}">
  <dimension ref="A1:B10"/>
  <sheetViews>
    <sheetView workbookViewId="0">
      <selection activeCell="F7" sqref="F7"/>
    </sheetView>
  </sheetViews>
  <sheetFormatPr defaultRowHeight="14.4" x14ac:dyDescent="0.3"/>
  <cols>
    <col min="1" max="1" width="26.21875" customWidth="1"/>
    <col min="2" max="2" width="17.21875" customWidth="1"/>
  </cols>
  <sheetData>
    <row r="1" spans="1:2" ht="19.2" customHeight="1" x14ac:dyDescent="0.3">
      <c r="A1" s="5" t="s">
        <v>94</v>
      </c>
      <c r="B1" s="5" t="s">
        <v>111</v>
      </c>
    </row>
    <row r="2" spans="1:2" x14ac:dyDescent="0.3">
      <c r="A2" t="s">
        <v>85</v>
      </c>
      <c r="B2" s="12">
        <f>SUM(Table1[Taxable Value])</f>
        <v>1410589</v>
      </c>
    </row>
    <row r="3" spans="1:2" x14ac:dyDescent="0.3">
      <c r="A3" t="s">
        <v>86</v>
      </c>
      <c r="B3" s="12">
        <f>SUM(tblGST!I:I)</f>
        <v>18607.66</v>
      </c>
    </row>
    <row r="4" spans="1:2" x14ac:dyDescent="0.3">
      <c r="A4" t="s">
        <v>87</v>
      </c>
      <c r="B4" s="12">
        <f>SUM(Table1[SGST])</f>
        <v>18607.66</v>
      </c>
    </row>
    <row r="5" spans="1:2" x14ac:dyDescent="0.3">
      <c r="A5" t="s">
        <v>88</v>
      </c>
      <c r="B5" s="12">
        <f>SUM(Table1[IGST])</f>
        <v>125524.36000000003</v>
      </c>
    </row>
    <row r="6" spans="1:2" x14ac:dyDescent="0.3">
      <c r="A6" t="s">
        <v>89</v>
      </c>
      <c r="B6" s="12">
        <f>B5+B4+B3</f>
        <v>162739.68000000002</v>
      </c>
    </row>
    <row r="7" spans="1:2" x14ac:dyDescent="0.3">
      <c r="A7" t="s">
        <v>90</v>
      </c>
      <c r="B7" s="12">
        <f>SUM(tblGST!L:L)</f>
        <v>1573328.6800000002</v>
      </c>
    </row>
    <row r="8" spans="1:2" x14ac:dyDescent="0.3">
      <c r="A8" t="s">
        <v>91</v>
      </c>
      <c r="B8">
        <f>COUNTA(Table1[Invoice No])</f>
        <v>50</v>
      </c>
    </row>
    <row r="9" spans="1:2" x14ac:dyDescent="0.3">
      <c r="A9" t="s">
        <v>92</v>
      </c>
      <c r="B9">
        <f>COUNTIF(tblGST!M:M,"pending")</f>
        <v>18</v>
      </c>
    </row>
    <row r="10" spans="1:2" x14ac:dyDescent="0.3">
      <c r="A10" t="s">
        <v>93</v>
      </c>
      <c r="B10">
        <f>COUNTIF(tblGST!M:M,"paid")</f>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21BD6-BD5A-4AF6-A54B-43FCB068C8B1}">
  <dimension ref="A1:M28"/>
  <sheetViews>
    <sheetView zoomScale="82" workbookViewId="0">
      <selection activeCell="E6" sqref="E6"/>
    </sheetView>
  </sheetViews>
  <sheetFormatPr defaultRowHeight="14.4" x14ac:dyDescent="0.3"/>
  <cols>
    <col min="1" max="1" width="16.77734375" bestFit="1" customWidth="1"/>
    <col min="2" max="2" width="18" bestFit="1" customWidth="1"/>
    <col min="5" max="5" width="14.88671875" customWidth="1"/>
    <col min="6" max="6" width="12.21875" bestFit="1" customWidth="1"/>
    <col min="7" max="7" width="18.44140625" bestFit="1" customWidth="1"/>
    <col min="10" max="10" width="17.6640625" customWidth="1"/>
    <col min="11" max="11" width="10.77734375" bestFit="1" customWidth="1"/>
    <col min="12" max="12" width="18.44140625" bestFit="1" customWidth="1"/>
  </cols>
  <sheetData>
    <row r="1" spans="1:13" x14ac:dyDescent="0.3">
      <c r="A1" s="9" t="s">
        <v>103</v>
      </c>
      <c r="B1" s="9"/>
      <c r="C1" s="9"/>
      <c r="D1" s="4"/>
      <c r="F1" s="9" t="s">
        <v>104</v>
      </c>
      <c r="G1" s="9"/>
      <c r="H1" s="9"/>
      <c r="I1" s="4"/>
      <c r="K1" s="9" t="s">
        <v>105</v>
      </c>
      <c r="L1" s="9"/>
      <c r="M1" s="9"/>
    </row>
    <row r="2" spans="1:13" x14ac:dyDescent="0.3">
      <c r="F2" s="1" t="s">
        <v>110</v>
      </c>
      <c r="G2" t="s">
        <v>101</v>
      </c>
      <c r="K2" s="1" t="s">
        <v>3</v>
      </c>
      <c r="L2" t="s">
        <v>101</v>
      </c>
    </row>
    <row r="3" spans="1:13" x14ac:dyDescent="0.3">
      <c r="A3" s="1" t="s">
        <v>109</v>
      </c>
      <c r="B3" t="s">
        <v>100</v>
      </c>
      <c r="F3" s="2">
        <v>5</v>
      </c>
      <c r="G3" s="10">
        <v>538746.62</v>
      </c>
      <c r="K3" s="2" t="s">
        <v>30</v>
      </c>
      <c r="L3" s="10">
        <v>523438.12999999989</v>
      </c>
    </row>
    <row r="4" spans="1:13" x14ac:dyDescent="0.3">
      <c r="A4" s="2" t="s">
        <v>96</v>
      </c>
      <c r="B4" s="10">
        <v>358815</v>
      </c>
      <c r="F4" s="2">
        <v>12</v>
      </c>
      <c r="G4" s="10">
        <v>456668.8</v>
      </c>
      <c r="K4" s="2" t="s">
        <v>15</v>
      </c>
      <c r="L4" s="10">
        <v>628973.23</v>
      </c>
    </row>
    <row r="5" spans="1:13" x14ac:dyDescent="0.3">
      <c r="A5" s="2" t="s">
        <v>97</v>
      </c>
      <c r="B5" s="10">
        <v>372965</v>
      </c>
      <c r="F5" s="2">
        <v>18</v>
      </c>
      <c r="G5" s="10">
        <v>577913.26</v>
      </c>
      <c r="K5" s="2" t="s">
        <v>23</v>
      </c>
      <c r="L5" s="10">
        <v>420917.31999999995</v>
      </c>
    </row>
    <row r="6" spans="1:13" x14ac:dyDescent="0.3">
      <c r="A6" s="2" t="s">
        <v>98</v>
      </c>
      <c r="B6" s="10">
        <v>346448</v>
      </c>
      <c r="F6" s="2" t="s">
        <v>95</v>
      </c>
      <c r="G6" s="10">
        <v>1573328.68</v>
      </c>
      <c r="K6" s="2" t="s">
        <v>95</v>
      </c>
      <c r="L6" s="10">
        <v>1573328.6799999997</v>
      </c>
    </row>
    <row r="7" spans="1:13" x14ac:dyDescent="0.3">
      <c r="A7" s="2" t="s">
        <v>99</v>
      </c>
      <c r="B7" s="10">
        <v>332361</v>
      </c>
    </row>
    <row r="8" spans="1:13" x14ac:dyDescent="0.3">
      <c r="A8" s="2" t="s">
        <v>95</v>
      </c>
      <c r="B8" s="10">
        <v>1410589</v>
      </c>
    </row>
    <row r="18" spans="1:11" x14ac:dyDescent="0.3">
      <c r="A18" s="9" t="s">
        <v>106</v>
      </c>
      <c r="B18" s="9"/>
      <c r="C18" s="9"/>
      <c r="D18" s="4"/>
      <c r="F18" s="9" t="s">
        <v>107</v>
      </c>
      <c r="G18" s="9"/>
      <c r="H18" s="9"/>
      <c r="I18" s="9"/>
      <c r="J18" s="9"/>
      <c r="K18" s="9"/>
    </row>
    <row r="19" spans="1:11" x14ac:dyDescent="0.3">
      <c r="A19" s="1" t="s">
        <v>12</v>
      </c>
      <c r="B19" t="s">
        <v>102</v>
      </c>
      <c r="F19" s="1" t="s">
        <v>108</v>
      </c>
      <c r="G19" t="s">
        <v>101</v>
      </c>
    </row>
    <row r="20" spans="1:11" x14ac:dyDescent="0.3">
      <c r="A20" s="2" t="s">
        <v>17</v>
      </c>
      <c r="B20" s="10">
        <v>32</v>
      </c>
      <c r="F20" s="2" t="s">
        <v>48</v>
      </c>
      <c r="G20" s="10">
        <v>173723.73</v>
      </c>
    </row>
    <row r="21" spans="1:11" x14ac:dyDescent="0.3">
      <c r="A21" s="2" t="s">
        <v>20</v>
      </c>
      <c r="B21" s="10">
        <v>18</v>
      </c>
      <c r="F21" s="2" t="s">
        <v>27</v>
      </c>
      <c r="G21" s="10">
        <v>344863.35999999993</v>
      </c>
    </row>
    <row r="22" spans="1:11" x14ac:dyDescent="0.3">
      <c r="A22" s="2" t="s">
        <v>95</v>
      </c>
      <c r="B22" s="10">
        <v>50</v>
      </c>
      <c r="F22" s="2" t="s">
        <v>52</v>
      </c>
      <c r="G22" s="10">
        <v>229617.81</v>
      </c>
    </row>
    <row r="23" spans="1:11" x14ac:dyDescent="0.3">
      <c r="F23" s="2" t="s">
        <v>25</v>
      </c>
      <c r="G23" s="10">
        <v>163282.89999999997</v>
      </c>
    </row>
    <row r="24" spans="1:11" x14ac:dyDescent="0.3">
      <c r="F24" s="2" t="s">
        <v>36</v>
      </c>
      <c r="G24" s="10">
        <v>131929.63</v>
      </c>
    </row>
    <row r="25" spans="1:11" x14ac:dyDescent="0.3">
      <c r="F25" s="2" t="s">
        <v>16</v>
      </c>
      <c r="G25" s="10">
        <v>274205.73</v>
      </c>
    </row>
    <row r="26" spans="1:11" x14ac:dyDescent="0.3">
      <c r="F26" s="2" t="s">
        <v>31</v>
      </c>
      <c r="G26" s="10">
        <v>117597.65</v>
      </c>
    </row>
    <row r="27" spans="1:11" x14ac:dyDescent="0.3">
      <c r="F27" s="2" t="s">
        <v>44</v>
      </c>
      <c r="G27" s="10">
        <v>138107.87</v>
      </c>
    </row>
    <row r="28" spans="1:11" x14ac:dyDescent="0.3">
      <c r="F28" s="2" t="s">
        <v>95</v>
      </c>
      <c r="G28" s="10">
        <v>1573328.6799999997</v>
      </c>
    </row>
  </sheetData>
  <mergeCells count="5">
    <mergeCell ref="A1:C1"/>
    <mergeCell ref="F1:H1"/>
    <mergeCell ref="K1:M1"/>
    <mergeCell ref="A18:C18"/>
    <mergeCell ref="F18:K18"/>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47432-9546-4CB1-8BA1-54694EE2571E}">
  <dimension ref="A1:J49"/>
  <sheetViews>
    <sheetView showGridLines="0" tabSelected="1" zoomScale="95" zoomScaleNormal="165" workbookViewId="0">
      <selection activeCell="K44" sqref="K44"/>
    </sheetView>
  </sheetViews>
  <sheetFormatPr defaultRowHeight="14.4" x14ac:dyDescent="0.3"/>
  <sheetData>
    <row r="1" spans="1:10" x14ac:dyDescent="0.3">
      <c r="A1" s="7" t="s">
        <v>112</v>
      </c>
      <c r="B1" s="7"/>
      <c r="C1" s="7"/>
      <c r="D1" s="7"/>
      <c r="E1" s="7"/>
      <c r="F1" s="7"/>
      <c r="G1" s="7"/>
      <c r="H1" s="7"/>
      <c r="I1" s="7"/>
      <c r="J1" s="7"/>
    </row>
    <row r="2" spans="1:10" x14ac:dyDescent="0.3">
      <c r="A2" s="7"/>
      <c r="B2" s="7"/>
      <c r="C2" s="7"/>
      <c r="D2" s="7"/>
      <c r="E2" s="7"/>
      <c r="F2" s="7"/>
      <c r="G2" s="7"/>
      <c r="H2" s="7"/>
      <c r="I2" s="7"/>
      <c r="J2" s="7"/>
    </row>
    <row r="3" spans="1:10" s="6" customFormat="1" ht="11.4" customHeight="1" x14ac:dyDescent="0.3">
      <c r="A3" s="8" t="s">
        <v>113</v>
      </c>
      <c r="B3" s="8"/>
      <c r="C3" s="8"/>
      <c r="D3" s="8"/>
      <c r="E3" s="8"/>
      <c r="F3" s="8"/>
      <c r="G3" s="8"/>
      <c r="H3" s="8"/>
      <c r="I3" s="8"/>
      <c r="J3" s="8"/>
    </row>
    <row r="4" spans="1:10" ht="4.2" customHeight="1" x14ac:dyDescent="0.3"/>
    <row r="7" spans="1:10" ht="19.2" customHeight="1" x14ac:dyDescent="0.3"/>
    <row r="17" ht="9" customHeight="1" x14ac:dyDescent="0.3"/>
    <row r="18" ht="9" customHeight="1" x14ac:dyDescent="0.3"/>
    <row r="19" ht="9" customHeight="1" x14ac:dyDescent="0.3"/>
    <row r="20" ht="10.8" customHeight="1" x14ac:dyDescent="0.3"/>
    <row r="21" ht="13.8" customHeight="1" x14ac:dyDescent="0.3"/>
    <row r="29" ht="18" customHeight="1" x14ac:dyDescent="0.3"/>
    <row r="30" ht="11.4" customHeight="1" x14ac:dyDescent="0.3"/>
    <row r="49" spans="1:10" x14ac:dyDescent="0.3">
      <c r="A49" s="11" t="s">
        <v>114</v>
      </c>
      <c r="B49" s="11"/>
      <c r="C49" s="11"/>
      <c r="D49" s="11"/>
      <c r="E49" s="11"/>
      <c r="F49" s="11"/>
      <c r="G49" s="11"/>
      <c r="H49" s="11"/>
      <c r="I49" s="11"/>
      <c r="J49" s="11"/>
    </row>
  </sheetData>
  <mergeCells count="3">
    <mergeCell ref="A1:J2"/>
    <mergeCell ref="A3:J3"/>
    <mergeCell ref="A49:J4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tblGST</vt:lpstr>
      <vt:lpstr>GST Calculation</vt:lpstr>
      <vt:lpstr>GST 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Archana N</cp:lastModifiedBy>
  <cp:lastPrinted>2026-08-05T15:44:51Z</cp:lastPrinted>
  <dcterms:created xsi:type="dcterms:W3CDTF">2026-08-04T07:57:32Z</dcterms:created>
  <dcterms:modified xsi:type="dcterms:W3CDTF">2026-08-05T15:51:50Z</dcterms:modified>
</cp:coreProperties>
</file>